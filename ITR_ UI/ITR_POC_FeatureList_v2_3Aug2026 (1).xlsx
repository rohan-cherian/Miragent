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motivemindscom.sharepoint.com/sites/ITP-IssuetoResolution/Shared Documents/General/ITR Working Materials/04_Shared_Working_Documents/"/>
    </mc:Choice>
  </mc:AlternateContent>
  <xr:revisionPtr revIDLastSave="0" documentId="8_{2DA53C87-652B-4C04-8FB6-5BD67F546DBF}" xr6:coauthVersionLast="47" xr6:coauthVersionMax="47" xr10:uidLastSave="{00000000-0000-0000-0000-000000000000}"/>
  <bookViews>
    <workbookView xWindow="-110" yWindow="-110" windowWidth="19420" windowHeight="10300" tabRatio="807" firstSheet="4" activeTab="4" xr2:uid="{00000000-000D-0000-FFFF-FFFF00000000}"/>
  </bookViews>
  <sheets>
    <sheet name="00_README" sheetId="1" r:id="rId1"/>
    <sheet name="01_Summary" sheetId="2" r:id="rId2"/>
    <sheet name="02_Feature_List" sheetId="3" r:id="rId3"/>
    <sheet name="03_Epics" sheetId="4" r:id="rId4"/>
    <sheet name="04_Agent_Specs" sheetId="5" r:id="rId5"/>
    <sheet name="05_Data_Entities" sheetId="6" r:id="rId6"/>
    <sheet name="06_Integrations_APIs" sheetId="7" r:id="rId7"/>
    <sheet name="07_NonFunctional" sheetId="8" r:id="rId8"/>
    <sheet name="08_Metrics_KPIs" sheetId="9" r:id="rId9"/>
    <sheet name="09_Out_of_Scope" sheetId="10" r:id="rId10"/>
    <sheet name="10_Source_Systems" sheetId="11" r:id="rId11"/>
  </sheets>
  <definedNames>
    <definedName name="_xlnm._FilterDatabase" localSheetId="2" hidden="1">'02_Feature_List'!$A$4:$Q$141</definedName>
    <definedName name="_xlnm._FilterDatabase" localSheetId="4" hidden="1">'04_Agent_Specs'!$A$4:$J$16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3" i="2" l="1"/>
  <c r="B52" i="2"/>
  <c r="B51" i="2"/>
  <c r="B50" i="2"/>
  <c r="B49" i="2"/>
  <c r="C49" i="2" s="1"/>
  <c r="C44" i="2"/>
  <c r="C43" i="2"/>
  <c r="C42" i="2"/>
  <c r="C41" i="2"/>
  <c r="C40" i="2"/>
  <c r="C39" i="2"/>
  <c r="C38" i="2"/>
  <c r="C37" i="2"/>
  <c r="F32" i="2"/>
  <c r="E32" i="2"/>
  <c r="D32" i="2"/>
  <c r="C32" i="2"/>
  <c r="B32" i="2"/>
  <c r="F31" i="2"/>
  <c r="E31" i="2"/>
  <c r="D31" i="2"/>
  <c r="C31" i="2"/>
  <c r="B31" i="2"/>
  <c r="F30" i="2"/>
  <c r="E30" i="2"/>
  <c r="D30" i="2"/>
  <c r="C30" i="2"/>
  <c r="B30" i="2"/>
  <c r="F29" i="2"/>
  <c r="E29" i="2"/>
  <c r="D29" i="2"/>
  <c r="C29" i="2"/>
  <c r="B29" i="2"/>
  <c r="F28" i="2"/>
  <c r="E28" i="2"/>
  <c r="D28" i="2"/>
  <c r="C28" i="2"/>
  <c r="B28" i="2"/>
  <c r="F27" i="2"/>
  <c r="E27" i="2"/>
  <c r="D27" i="2"/>
  <c r="C27" i="2"/>
  <c r="B27" i="2"/>
  <c r="G21" i="2"/>
  <c r="F21" i="2"/>
  <c r="E21" i="2"/>
  <c r="D21" i="2"/>
  <c r="C21" i="2"/>
  <c r="G20" i="2"/>
  <c r="F20" i="2"/>
  <c r="E20" i="2"/>
  <c r="D20" i="2"/>
  <c r="C20" i="2"/>
  <c r="G19" i="2"/>
  <c r="F19" i="2"/>
  <c r="E19" i="2"/>
  <c r="D19" i="2"/>
  <c r="C19" i="2"/>
  <c r="G18" i="2"/>
  <c r="F18" i="2"/>
  <c r="E18" i="2"/>
  <c r="D18" i="2"/>
  <c r="C18" i="2"/>
  <c r="G17" i="2"/>
  <c r="F17" i="2"/>
  <c r="E17" i="2"/>
  <c r="D17" i="2"/>
  <c r="C17" i="2"/>
  <c r="G16" i="2"/>
  <c r="F16" i="2"/>
  <c r="E16" i="2"/>
  <c r="D16" i="2"/>
  <c r="C16" i="2"/>
  <c r="G15" i="2"/>
  <c r="F15" i="2"/>
  <c r="E15" i="2"/>
  <c r="D15" i="2"/>
  <c r="C15" i="2"/>
  <c r="G14" i="2"/>
  <c r="F14" i="2"/>
  <c r="E14" i="2"/>
  <c r="D14" i="2"/>
  <c r="C14" i="2"/>
  <c r="G13" i="2"/>
  <c r="F13" i="2"/>
  <c r="E13" i="2"/>
  <c r="D13" i="2"/>
  <c r="C13" i="2"/>
  <c r="G12" i="2"/>
  <c r="F12" i="2"/>
  <c r="E12" i="2"/>
  <c r="D12" i="2"/>
  <c r="C12" i="2"/>
  <c r="G11" i="2"/>
  <c r="F11" i="2"/>
  <c r="E11" i="2"/>
  <c r="D11" i="2"/>
  <c r="C11" i="2"/>
  <c r="G10" i="2"/>
  <c r="F10" i="2"/>
  <c r="E10" i="2"/>
  <c r="D10" i="2"/>
  <c r="C10" i="2"/>
  <c r="G9" i="2"/>
  <c r="F9" i="2"/>
  <c r="E9" i="2"/>
  <c r="D9" i="2"/>
  <c r="C9" i="2"/>
  <c r="G8" i="2"/>
  <c r="F8" i="2"/>
  <c r="E8" i="2"/>
  <c r="D8" i="2"/>
  <c r="C8" i="2"/>
  <c r="G7" i="2"/>
  <c r="F7" i="2"/>
  <c r="E7" i="2"/>
  <c r="D7" i="2"/>
  <c r="C7" i="2"/>
  <c r="G6" i="2"/>
  <c r="F6" i="2"/>
  <c r="F22" i="2" s="1"/>
  <c r="E6" i="2"/>
  <c r="E22" i="2" s="1"/>
  <c r="D6" i="2"/>
  <c r="D22" i="2" s="1"/>
  <c r="C6" i="2"/>
  <c r="C22" i="2" s="1"/>
  <c r="G22" i="2" l="1"/>
  <c r="H22" i="2" s="1"/>
  <c r="H6" i="2"/>
  <c r="H7" i="2"/>
  <c r="H8" i="2"/>
  <c r="H9" i="2"/>
  <c r="H10" i="2"/>
  <c r="H11" i="2"/>
  <c r="H12" i="2"/>
  <c r="H13" i="2"/>
  <c r="H14" i="2"/>
  <c r="H15" i="2"/>
  <c r="H16" i="2"/>
  <c r="H17" i="2"/>
  <c r="H18" i="2"/>
  <c r="H19" i="2"/>
  <c r="H20" i="2"/>
  <c r="H21" i="2"/>
  <c r="C50" i="2"/>
  <c r="C51" i="2"/>
  <c r="C52" i="2"/>
  <c r="C53" i="2"/>
</calcChain>
</file>

<file path=xl/sharedStrings.xml><?xml version="1.0" encoding="utf-8"?>
<sst xmlns="http://schemas.openxmlformats.org/spreadsheetml/2006/main" count="3367" uniqueCount="1950">
  <si>
    <t>ITR — Detailed Feature List (4-Week POC) — v2</t>
  </si>
  <si>
    <t>v2 · 3 August 2026 · 137 features across 16 epics · Scope contract for the demo swim lane · Owner: Aamit Lakhani, Architect (AI)</t>
  </si>
  <si>
    <t>PURPOSE</t>
  </si>
  <si>
    <t>The scope contract for the 4-week POC. If a piece of work is not in 02_Feature_List, it is not in scope. Anything added must be logged as a change request and costed against remaining buffer.</t>
  </si>
  <si>
    <t>SCOPE STATEMENT</t>
  </si>
  <si>
    <t>Phase 1 of the DEMO swim lane confirmed 29-Jul-2026. Recommendation-only: the system classifies and states intention; every write passes a human gate. This is NOT the 10–12 week sellable MVP.</t>
  </si>
  <si>
    <t>WHAT CHANGED IN v2</t>
  </si>
  <si>
    <t>Six source systems are EMULATED rather than one integrated — each with a faithful replica of its native schema plus a mock API speaking real endpoint shapes, pagination, rate limits and error codes. The corpus is generated INTO those native shapes and ingested through the real adapters. The live Zendesk sandbox is dropped. Analysts gain org, skills, measured handling history and derived capability signals (epic E15). Voice runs a full audio pipeline with real ASR (epic E16). 30 new features; the demo grows from 7 scenes to 8.</t>
  </si>
  <si>
    <t>SHEET GUIDE</t>
  </si>
  <si>
    <t>01_Summary</t>
  </si>
  <si>
    <t>Counts and effort by epic, priority and owner. All formulas over 02_Feature_List.</t>
  </si>
  <si>
    <t>02_Feature_List</t>
  </si>
  <si>
    <t>THE LIST. 137 features, each with a user story, Given/When/Then acceptance criteria, layer, component, dependency, priority, owner, week, success metric, demo scene and the plan task IDs that deliver it.</t>
  </si>
  <si>
    <t>03_Epics</t>
  </si>
  <si>
    <t>The 16 epics with their owner and the MoM decision each traces back to.</t>
  </si>
  <si>
    <t>04_Agent_Specs</t>
  </si>
  <si>
    <t>The 12-agent pipeline: inputs, outputs, model tier, guardrails, HITL gate and evaluation metric for each.</t>
  </si>
  <si>
    <t>05_Data_Entities</t>
  </si>
  <si>
    <t>Canonical entities with their source mapping and POC volumes.</t>
  </si>
  <si>
    <t>06_Integrations_APIs</t>
  </si>
  <si>
    <t>Zendesk endpoints and scopes, Workday bridge, Anthropic, and the rate limits that constrain design.</t>
  </si>
  <si>
    <t>07_NonFunctional</t>
  </si>
  <si>
    <t>Performance, security, governance, observability and deployment targets with how each is measured.</t>
  </si>
  <si>
    <t>08_Metrics_KPIs</t>
  </si>
  <si>
    <t>Every metric quoted anywhere in this programme, with its target, how it is measured and when it is first reported.</t>
  </si>
  <si>
    <t>09_Out_of_Scope</t>
  </si>
  <si>
    <t>What is deliberately excluded, and the decision that excluded it. Read this before agreeing to anything in a meeting.</t>
  </si>
  <si>
    <t>10_Source_Systems</t>
  </si>
  <si>
    <t>The six emulated systems: native objects modelled, API behaviour reproduced, adapter scope and what each contributes to the demo.</t>
  </si>
  <si>
    <t>PRIORITY KEY</t>
  </si>
  <si>
    <t>Must = the demo does not work without it · Should = the demo is materially weaker without it · Could = included only if buffer allows · Won't = explicitly excluded (see 09_Out_of_Scope).</t>
  </si>
  <si>
    <t>STATUS KEY</t>
  </si>
  <si>
    <t>Not started · In progress · In review · Done · Descoped. Update the yellow Status column; 01_Summary follows automatically.</t>
  </si>
  <si>
    <t>ACCEPTANCE</t>
  </si>
  <si>
    <t>Written as GIVEN / WHEN / THEN. The BA signs each one off; a feature is not done until its criteria pass.</t>
  </si>
  <si>
    <t>TRACEABILITY</t>
  </si>
  <si>
    <t>The final column maps every feature to the task IDs in ITR_POC_ProjectPlan_v2_3Aug2026.xlsx that deliver it. Nothing in the plan is unattached to a feature, and nothing here is unattached to a task.</t>
  </si>
  <si>
    <t>Feature Summary</t>
  </si>
  <si>
    <t>Every figure is a formula over 02_Feature_List. Update Status there; this follows.</t>
  </si>
  <si>
    <t>A. By epic</t>
  </si>
  <si>
    <t>Epic</t>
  </si>
  <si>
    <t>Name</t>
  </si>
  <si>
    <t>Features</t>
  </si>
  <si>
    <t>Must</t>
  </si>
  <si>
    <t>Should</t>
  </si>
  <si>
    <t>Could</t>
  </si>
  <si>
    <t>Done</t>
  </si>
  <si>
    <t>% done</t>
  </si>
  <si>
    <t>E01</t>
  </si>
  <si>
    <t>Platform &amp; Deployment</t>
  </si>
  <si>
    <t>E02</t>
  </si>
  <si>
    <t>Synthetic Data Corpus</t>
  </si>
  <si>
    <t>E03</t>
  </si>
  <si>
    <t>Canonical Model &amp; Digital Twin</t>
  </si>
  <si>
    <t>E04</t>
  </si>
  <si>
    <t>Source Systems, Emulation &amp; Ingestion</t>
  </si>
  <si>
    <t>E05</t>
  </si>
  <si>
    <t>Identity Resolution &amp; 360</t>
  </si>
  <si>
    <t>E06</t>
  </si>
  <si>
    <t>Knowledge &amp; Context Fabric</t>
  </si>
  <si>
    <t>E07</t>
  </si>
  <si>
    <t>Agents — Understand</t>
  </si>
  <si>
    <t>E08</t>
  </si>
  <si>
    <t>Agents — Route &amp; Prioritise</t>
  </si>
  <si>
    <t>E09</t>
  </si>
  <si>
    <t>Agents — Resolve</t>
  </si>
  <si>
    <t>E10</t>
  </si>
  <si>
    <t>Agents — Learn</t>
  </si>
  <si>
    <t>E11</t>
  </si>
  <si>
    <t>Human-in-the-Loop Console</t>
  </si>
  <si>
    <t>E12</t>
  </si>
  <si>
    <t>Governance, Security &amp; Audit</t>
  </si>
  <si>
    <t>E13</t>
  </si>
  <si>
    <t>Evaluation &amp; Quality</t>
  </si>
  <si>
    <t>E14</t>
  </si>
  <si>
    <t>Demo &amp; Enablement</t>
  </si>
  <si>
    <t>E15</t>
  </si>
  <si>
    <t>Analyst Intelligence &amp; Capability</t>
  </si>
  <si>
    <t>E16</t>
  </si>
  <si>
    <t>Voice &amp; Transcription</t>
  </si>
  <si>
    <t>TOTAL</t>
  </si>
  <si>
    <t>B. By owner and by week</t>
  </si>
  <si>
    <t>Owner</t>
  </si>
  <si>
    <t>Wk1</t>
  </si>
  <si>
    <t>Wk2</t>
  </si>
  <si>
    <t>Wk3</t>
  </si>
  <si>
    <t>Wk4</t>
  </si>
  <si>
    <t>ARC</t>
  </si>
  <si>
    <t>PM</t>
  </si>
  <si>
    <t>BA</t>
  </si>
  <si>
    <t>DEV-1</t>
  </si>
  <si>
    <t>DEV-2</t>
  </si>
  <si>
    <t>DEV-3</t>
  </si>
  <si>
    <t>C. By demo scene — proves that every scene is covered by delivered features</t>
  </si>
  <si>
    <t>Scene</t>
  </si>
  <si>
    <t>What it proves</t>
  </si>
  <si>
    <t>Features referencing it</t>
  </si>
  <si>
    <t>1</t>
  </si>
  <si>
    <t>Six systems, one twin — six emulated sources feeding one canonical model</t>
  </si>
  <si>
    <t>2</t>
  </si>
  <si>
    <t>An issue arrives — multi-channel intake including a real transcribed phone call</t>
  </si>
  <si>
    <t>3</t>
  </si>
  <si>
    <t>Who is this — identity resolved across four systems in under 2 seconds</t>
  </si>
  <si>
    <t>4</t>
  </si>
  <si>
    <t>What is it — classification, prioritisation, dedup, and the linked Jira defect</t>
  </si>
  <si>
    <t>5</t>
  </si>
  <si>
    <t>What do we know — cited context pack spanning four systems</t>
  </si>
  <si>
    <t>6</t>
  </si>
  <si>
    <t>Who should handle it — analyst recommendation from measured evidence</t>
  </si>
  <si>
    <t>7</t>
  </si>
  <si>
    <t>What should we do — draft, human approval, gated write-back</t>
  </si>
  <si>
    <t>8</t>
  </si>
  <si>
    <t>What did we learn — KB curation, pattern intelligence, analyst development areas</t>
  </si>
  <si>
    <t>D. Progress</t>
  </si>
  <si>
    <t>Status</t>
  </si>
  <si>
    <t>% of total</t>
  </si>
  <si>
    <t>Not started</t>
  </si>
  <si>
    <t>In progress</t>
  </si>
  <si>
    <t>In review</t>
  </si>
  <si>
    <t>Descoped</t>
  </si>
  <si>
    <t>Feature List — ITR 4-Week POC</t>
  </si>
  <si>
    <t>Each row is a scope commitment. Update the Status column only.</t>
  </si>
  <si>
    <t>ID</t>
  </si>
  <si>
    <t>Feature</t>
  </si>
  <si>
    <t>Description</t>
  </si>
  <si>
    <t>User story</t>
  </si>
  <si>
    <t>Acceptance criteria (Given / When / Then)</t>
  </si>
  <si>
    <t>Layer</t>
  </si>
  <si>
    <t>Component</t>
  </si>
  <si>
    <t>Depends on</t>
  </si>
  <si>
    <t>Priority</t>
  </si>
  <si>
    <t>Phase</t>
  </si>
  <si>
    <t>Week</t>
  </si>
  <si>
    <t>Success metric</t>
  </si>
  <si>
    <t>Plan task IDs</t>
  </si>
  <si>
    <t>F-001</t>
  </si>
  <si>
    <t>One-command local stack</t>
  </si>
  <si>
    <t>Docker-compose bringing up Postgres+pgvector, Neo4j, Qdrant, Redis, MinIO, Temporal, API and console with healthchecks.</t>
  </si>
  <si>
    <t>As an engineer I want the whole stack up with one command so that I spend my time on the product, not on environment setup.</t>
  </si>
  <si>
    <t>GIVEN a clean machine WHEN I run docker compose up THEN all services report healthy within 3 minutes AND the console is reachable.</t>
  </si>
  <si>
    <t>Infrastructure</t>
  </si>
  <si>
    <t>docker-compose</t>
  </si>
  <si>
    <t>—</t>
  </si>
  <si>
    <t>POC</t>
  </si>
  <si>
    <t>Cold start &lt;3 min</t>
  </si>
  <si>
    <t>W1-PLT-01</t>
  </si>
  <si>
    <t>F-002</t>
  </si>
  <si>
    <t>Durable workflow engine</t>
  </si>
  <si>
    <t>Temporal service plus a Python worker, so long-running work survives restarts, 429s and human wait time.</t>
  </si>
  <si>
    <t>As an engineer I want long-running jobs to be resumable so that a rate limit or a restart never loses ingestion progress.</t>
  </si>
  <si>
    <t>GIVEN a backfill in flight WHEN the worker is killed THEN it resumes from the last checkpoint with no duplicate or missing records.</t>
  </si>
  <si>
    <t>Temporal</t>
  </si>
  <si>
    <t>Zero data loss on kill -9</t>
  </si>
  <si>
    <t>W1-PLT-02</t>
  </si>
  <si>
    <t>F-003</t>
  </si>
  <si>
    <t>Repo structure &amp; layering lint</t>
  </si>
  <si>
    <t>Monorepo with adapters/, canonical/, context/, agents/, api/, console/, gen/, evals/. Lint rule forbids agents/ importing adapters/.</t>
  </si>
  <si>
    <t>As an architect I want the 80/20 vendor split enforced by tooling so that the canonical core stays genuinely vendor-agnostic.</t>
  </si>
  <si>
    <t>GIVEN a PR where an agent imports a Zendesk module WHEN CI runs THEN the build fails with a clear message.</t>
  </si>
  <si>
    <t>CI lint</t>
  </si>
  <si>
    <t>0 layering violations on main</t>
  </si>
  <si>
    <t>W1-PLT-03</t>
  </si>
  <si>
    <t>F-004</t>
  </si>
  <si>
    <t>CI pipeline</t>
  </si>
  <si>
    <t>Ruff, mypy, pytest unit and integration against compose services, docker build. Required check on main.</t>
  </si>
  <si>
    <t>As a team we want a red build to block merge so that main is always demoable.</t>
  </si>
  <si>
    <t>GIVEN a failing test WHEN a PR is opened THEN merge is blocked AND the pipeline completes in under 8 minutes.</t>
  </si>
  <si>
    <t>GitHub Actions</t>
  </si>
  <si>
    <t>Pipeline &lt;8 min</t>
  </si>
  <si>
    <t>W1-PLT-04</t>
  </si>
  <si>
    <t>F-005</t>
  </si>
  <si>
    <t>Seed &amp; teardown</t>
  </si>
  <si>
    <t>make seed / make reset. Idempotent, loads reference data plus a 200-ticket smoke corpus.</t>
  </si>
  <si>
    <t>As a new engineer I want a working world in one command so that onboarding is measured in minutes.</t>
  </si>
  <si>
    <t>GIVEN an empty database WHEN I run make seed THEN a queryable 200-ticket world exists in under 10 minutes.</t>
  </si>
  <si>
    <t>scripts</t>
  </si>
  <si>
    <t>Reference data</t>
  </si>
  <si>
    <t>New machine to working world &lt;10 min</t>
  </si>
  <si>
    <t>W1-PLT-05</t>
  </si>
  <si>
    <t>F-006</t>
  </si>
  <si>
    <t>Tracing &amp; structured logs</t>
  </si>
  <si>
    <t>OpenTelemetry traces and JSON logs with run_id and trace_id propagated from ingest through agent to console.</t>
  </si>
  <si>
    <t>As an engineer I want one trace ID to follow a ticket end to end so that debugging an agent decision takes minutes, not hours.</t>
  </si>
  <si>
    <t>GIVEN any ticket WHEN I search its trace ID THEN I see every ingestion, retrieval, LLM call and console action in order.</t>
  </si>
  <si>
    <t>Observability</t>
  </si>
  <si>
    <t>OTel</t>
  </si>
  <si>
    <t>100% of pipeline steps traced</t>
  </si>
  <si>
    <t>7, 8</t>
  </si>
  <si>
    <t>W1-PLT-06</t>
  </si>
  <si>
    <t>F-007</t>
  </si>
  <si>
    <t>Config &amp; secrets management</t>
  </si>
  <si>
    <t>pydantic-settings config, .env for local, KMS stub for cloud. No secret in code or logs.</t>
  </si>
  <si>
    <t>As a security reviewer I want no credentials in the repository so that the VPC deployment story is credible.</t>
  </si>
  <si>
    <t>GIVEN a repository scan WHEN secret detection runs THEN zero credentials are found.</t>
  </si>
  <si>
    <t>config</t>
  </si>
  <si>
    <t>0 secrets in repo</t>
  </si>
  <si>
    <t>F-008</t>
  </si>
  <si>
    <t>Reproducible tagged release</t>
  </si>
  <si>
    <t>Pinned dependencies and a tagged release that rebuilds byte-identically for the demo.</t>
  </si>
  <si>
    <t>As a presenter I want the demo build to be reproducible so that nothing changes underneath me on demo day.</t>
  </si>
  <si>
    <t>GIVEN the release tag WHEN I rebuild on a clean machine THEN I get the same image set.</t>
  </si>
  <si>
    <t>release</t>
  </si>
  <si>
    <t>Reproducible build verified</t>
  </si>
  <si>
    <t>W4-PLT-01</t>
  </si>
  <si>
    <t>F-009</t>
  </si>
  <si>
    <t>Client-VPC packaging readiness</t>
  </si>
  <si>
    <t>Every component is open source and container-packaged; no managed-only service is load-bearing.</t>
  </si>
  <si>
    <t>As a prospect CISO I want the stack to run inside my own VPC so that my support data never leaves my boundary.</t>
  </si>
  <si>
    <t>GIVEN the component inventory WHEN reviewed THEN every store and service has a self-hostable container image.</t>
  </si>
  <si>
    <t>architecture</t>
  </si>
  <si>
    <t>0 managed-only dependencies</t>
  </si>
  <si>
    <t>W4-PLT-02</t>
  </si>
  <si>
    <t>F-010</t>
  </si>
  <si>
    <t>Reference data load (Batch A)</t>
  </si>
  <si>
    <t>Load company profiles, L1 categories, 100 problem classes, 20 variant axes, channels, ticket fields, lifecycle states, resolution paths and distributions.</t>
  </si>
  <si>
    <t>As a data engineer I want the reference taxonomy in the database so that every generated ticket is traceable to a class and a variant.</t>
  </si>
  <si>
    <t>GIVEN the Master Spec workbook WHEN Batch A runs THEN row counts reconcile exactly AND a checksum is recorded.</t>
  </si>
  <si>
    <t>Data</t>
  </si>
  <si>
    <t>gen/batch_a</t>
  </si>
  <si>
    <t>Master Spec sheets 03-07, 12-17</t>
  </si>
  <si>
    <t>100% reconciliation</t>
  </si>
  <si>
    <t>W1-SYN-01</t>
  </si>
  <si>
    <t>F-011</t>
  </si>
  <si>
    <t>Synthetic world (Batch B)</t>
  </si>
  <si>
    <t>1,200 accounts, 4,800 contacts, 240 agents with full profile schema and skills matrix, 900 KB articles with deliberate coverage gaps.</t>
  </si>
  <si>
    <t>As a demo audience I want the world to look like a real support organisation so that the numbers on screen are believable.</t>
  </si>
  <si>
    <t>GIVEN Batch B WHEN complete THEN volumes match the volume plan AND agent skill scarcity follows the specified distribution.</t>
  </si>
  <si>
    <t>gen/batch_b</t>
  </si>
  <si>
    <t>Batch A</t>
  </si>
  <si>
    <t>Volumes match plan exactly</t>
  </si>
  <si>
    <t>1, 3</t>
  </si>
  <si>
    <t>W1-SYN-02</t>
  </si>
  <si>
    <t>F-012</t>
  </si>
  <si>
    <t>Scenario template library (Batch C)</t>
  </si>
  <si>
    <t>2,000 pre-expanded scenario templates covering all 100 problem classes across the 20 variant axes.</t>
  </si>
  <si>
    <t>As an architect I want scenario coverage to be provable so that no class is silently unrepresented.</t>
  </si>
  <si>
    <t>GIVEN the loaded templates WHEN coverage is computed THEN 100 of 100 classes are represented AND demo scenarios are tagged.</t>
  </si>
  <si>
    <t>gen/batch_c</t>
  </si>
  <si>
    <t>scenario_variants_2000.csv</t>
  </si>
  <si>
    <t>100/100 class coverage</t>
  </si>
  <si>
    <t>W1-SYN-03</t>
  </si>
  <si>
    <t>F-013</t>
  </si>
  <si>
    <t>Deterministic ticket scaffold (Batch D)</t>
  </si>
  <si>
    <t>Routing decisions, handoffs, business-hours-aware timestamps, lifecycle state machine, SLA clocks, CSAT per the 89/10/1 mix — 6,000 tickets with empty text.</t>
  </si>
  <si>
    <t>As a programme lead I want a dashboard demo possible on day 5 so that demo capability is not hostage to LLM generation.</t>
  </si>
  <si>
    <t>GIVEN Batch D WHEN complete THEN 6,000 tickets and ~48,000 events exist with valid state transitions and monotonic timestamps.</t>
  </si>
  <si>
    <t>gen/batch_d</t>
  </si>
  <si>
    <t>Batches B, C</t>
  </si>
  <si>
    <t>6,000 tickets by D05</t>
  </si>
  <si>
    <t>W1-SYN-04, W1-SYN-05</t>
  </si>
  <si>
    <t>F-014</t>
  </si>
  <si>
    <t>Ground-truth label store</t>
  </si>
  <si>
    <t>case_label as a physically separate table: true class, true root cause, true priority, correct queue, context_sufficient_at.</t>
  </si>
  <si>
    <t>As an evaluator I want labels that cannot leak into serving so that every metric we quote is honest.</t>
  </si>
  <si>
    <t>GIVEN the serving code path WHEN scanned THEN no import of case_label exists outside evals/ AND gate G-18 passes.</t>
  </si>
  <si>
    <t>evals/labels</t>
  </si>
  <si>
    <t>Batch D</t>
  </si>
  <si>
    <t>G-18 leakage gate passes</t>
  </si>
  <si>
    <t>W1-SYN-06</t>
  </si>
  <si>
    <t>F-015</t>
  </si>
  <si>
    <t>Generation harness with cost ceiling</t>
  </si>
  <si>
    <t>Prompt registry, batched Anthropic calls, hard spend ceiling, retry with backoff, per-thread provenance, resumable.</t>
  </si>
  <si>
    <t>As a budget owner I want a hard ceiling on generation spend so that a runaway batch cannot consume the sprint budget.</t>
  </si>
  <si>
    <t>GIVEN a configured ceiling WHEN 80% is consumed THEN generation pauses and alerts rather than continuing.</t>
  </si>
  <si>
    <t>gen/stage_b</t>
  </si>
  <si>
    <t>Spend within approved ceiling</t>
  </si>
  <si>
    <t>2, 5</t>
  </si>
  <si>
    <t>W2-SYN-01</t>
  </si>
  <si>
    <t>F-016</t>
  </si>
  <si>
    <t>Golden multi-channel narratives (Batch E)</t>
  </si>
  <si>
    <t>500 deep threads, ~20 pieces each, across 12 channels with handoffs, internal notes, evidence and persona-consistent voices.</t>
  </si>
  <si>
    <t>As a prospect I want to see a real cross-channel conversation so that I believe the system handles how support actually works.</t>
  </si>
  <si>
    <t>GIVEN Batch E WHEN gates G-01..G-08 run THEN 500 threads pass AND the 8 demo scenarios are among the first generated.</t>
  </si>
  <si>
    <t>gen/batch_e</t>
  </si>
  <si>
    <t>500 threads passing gates</t>
  </si>
  <si>
    <t>W2-SYN-02, W2-SYN-03</t>
  </si>
  <si>
    <t>F-017</t>
  </si>
  <si>
    <t>Volume-fill threads (Batch F)</t>
  </si>
  <si>
    <t>1,500 shorter threads for retrieval density and realistic deduplication behaviour.</t>
  </si>
  <si>
    <t>As a retrieval engineer I want corpus density so that similarity search behaves the way it would at real scale.</t>
  </si>
  <si>
    <t>GIVEN Batch F WHEN near-duplicate gate G-15 runs THEN homogenisation is within tolerance.</t>
  </si>
  <si>
    <t>gen/batch_f</t>
  </si>
  <si>
    <t>Batch E</t>
  </si>
  <si>
    <t>1,500 threads within budget</t>
  </si>
  <si>
    <t>4, 5</t>
  </si>
  <si>
    <t>W2-SYN-04</t>
  </si>
  <si>
    <t>F-018</t>
  </si>
  <si>
    <t>Evidence attachments (Batch G)</t>
  </si>
  <si>
    <t>Error logs, CSV exports, invoice PDFs and screenshots whose content matches the thread's claimed evidence.</t>
  </si>
  <si>
    <t>As a demo viewer I want to open the attachment the customer mentioned so that the scenario holds up under scrutiny.</t>
  </si>
  <si>
    <t>GIVEN any attachment reference WHEN clicked THEN the object resolves from MinIO and its content matches the narrative.</t>
  </si>
  <si>
    <t>gen/batch_g</t>
  </si>
  <si>
    <t>Batches E, F</t>
  </si>
  <si>
    <t>100% attachment references resolve</t>
  </si>
  <si>
    <t>W2-SYN-05</t>
  </si>
  <si>
    <t>F-019</t>
  </si>
  <si>
    <t>Derivation layer (Batch H)</t>
  </si>
  <si>
    <t>All 20 derivations materialised: handoff counts, context-sufficiency lag, reopen chains, effort proxies, recurrence clusters.</t>
  </si>
  <si>
    <t>As an analyst I want derived measures precomputed so that intelligence features query a table rather than recompute logic.</t>
  </si>
  <si>
    <t>GIVEN Batch H WHEN unit-tested THEN each of the 20 derivations matches a hand-computed sample.</t>
  </si>
  <si>
    <t>gen/batch_h</t>
  </si>
  <si>
    <t>Batches E-G</t>
  </si>
  <si>
    <t>20/20 derivations tested</t>
  </si>
  <si>
    <t>4, 8</t>
  </si>
  <si>
    <t>W3-SYN-01</t>
  </si>
  <si>
    <t>F-020</t>
  </si>
  <si>
    <t>Splits &amp; 18 validation gates (Batch J)</t>
  </si>
  <si>
    <t>Account-level train/dev/test splits and a full run of the 18 corpus validation gates with a published scorecard.</t>
  </si>
  <si>
    <t>As a sceptical stakeholder I want the corpus quality measured so that 'it is synthetic' becomes a documented position rather than a worry.</t>
  </si>
  <si>
    <t>GIVEN Batch J WHEN complete THEN 18 of 18 gates have run AND every failure has an owner and a decision.</t>
  </si>
  <si>
    <t>gen/batch_j</t>
  </si>
  <si>
    <t>Batch H</t>
  </si>
  <si>
    <t>18/18 gates run and reported</t>
  </si>
  <si>
    <t>W3-SYN-02</t>
  </si>
  <si>
    <t>F-021</t>
  </si>
  <si>
    <t>Real-data distribution calibration (G-14)</t>
  </si>
  <si>
    <t>Compare synthetic distributions — volume by class, thread length, resolution time, reopen rate, CSAT — against the real Kaggle 100k corpus.</t>
  </si>
  <si>
    <t>As a commercial lead I want synthetic distributions calibrated to real data so that the 23-Jul objection has an evidence-backed answer.</t>
  </si>
  <si>
    <t>GIVEN the calibration run WHEN complete THEN a divergence report exists AND material gaps are corrected or explicitly disclosed.</t>
  </si>
  <si>
    <t>evals/g14</t>
  </si>
  <si>
    <t>Batch J, real dataset</t>
  </si>
  <si>
    <t>Divergence report published</t>
  </si>
  <si>
    <t>W3-SYN-03</t>
  </si>
  <si>
    <t>F-022</t>
  </si>
  <si>
    <t>Corpus datasheet</t>
  </si>
  <si>
    <t>Provenance, generation method, distributions, limitations, prohibited uses, explicit is_synthetic statement.</t>
  </si>
  <si>
    <t>As a governance reviewer I want the corpus documented so that nobody can present it as real customer data.</t>
  </si>
  <si>
    <t>GIVEN the datasheet WHEN reviewed THEN prohibited uses are stated AND every row carries is_synthetic = true.</t>
  </si>
  <si>
    <t>docs/datasheet</t>
  </si>
  <si>
    <t>Batch J</t>
  </si>
  <si>
    <t>Datasheet published</t>
  </si>
  <si>
    <t>W3-BA-02</t>
  </si>
  <si>
    <t>F-023</t>
  </si>
  <si>
    <t>Batch revocation by run</t>
  </si>
  <si>
    <t>Any lettered batch can be revoked and regenerated by connector_run_id without disturbing the rest of the corpus.</t>
  </si>
  <si>
    <t>As a data engineer I want to regenerate one batch so that a quality problem does not force a full rebuild.</t>
  </si>
  <si>
    <t>GIVEN a connector_run_id WHEN revoked THEN only that batch's rows are removed AND referential integrity holds.</t>
  </si>
  <si>
    <t>gen/provenance</t>
  </si>
  <si>
    <t>Provenance envelope</t>
  </si>
  <si>
    <t>Batch revocable in &lt;5 min</t>
  </si>
  <si>
    <t>W1-CAN-03</t>
  </si>
  <si>
    <t>F-024</t>
  </si>
  <si>
    <t>Canonical ticketing entities</t>
  </si>
  <si>
    <t>Case, CaseEvent, Comment, Attachment, SatisfactionRating — event-first, nothing stored as final state only.</t>
  </si>
  <si>
    <t>As an architect I want a replayable event model so that temporal reasoning and audit are possible by construction.</t>
  </si>
  <si>
    <t>GIVEN any ticket WHEN its CaseEvents are replayed THEN its final state is reproduced exactly.</t>
  </si>
  <si>
    <t>Canonical</t>
  </si>
  <si>
    <t>canonical/case</t>
  </si>
  <si>
    <t>Replay divergence = 0 on 100 samples</t>
  </si>
  <si>
    <t>3, 4</t>
  </si>
  <si>
    <t>W1-CAN-01</t>
  </si>
  <si>
    <t>F-025</t>
  </si>
  <si>
    <t>Canonical people &amp; org entities</t>
  </si>
  <si>
    <t>Actor, Team, TeamMembership, Account with roles, skills, capacity and domain-based account mapping.</t>
  </si>
  <si>
    <t>As an assignment agent I want a canonical view of people so that routing logic is identical across future platforms.</t>
  </si>
  <si>
    <t>GIVEN a Zendesk user payload WHEN normalised THEN an Actor exists with role, skills, team and account resolved.</t>
  </si>
  <si>
    <t>canonical/people</t>
  </si>
  <si>
    <t>100% of users normalised</t>
  </si>
  <si>
    <t>F-026</t>
  </si>
  <si>
    <t>Canonical config, rules &amp; SLA</t>
  </si>
  <si>
    <t>Channel, Category/Intent, AutomationRule, SLAPolicy, SLAClock, Schedule — including apply/pause/breach/fulfil metric events.</t>
  </si>
  <si>
    <t>As a prioritisation agent I want SLA state as data so that breach risk is deterministic maths, not an LLM opinion.</t>
  </si>
  <si>
    <t>GIVEN an SLA policy and a ticket WHEN clocks are replayed THEN breach status matches the ground-truth simulation.</t>
  </si>
  <si>
    <t>canonical/sla</t>
  </si>
  <si>
    <t>SLA replay accuracy 100%</t>
  </si>
  <si>
    <t>4, 7</t>
  </si>
  <si>
    <t>F-027</t>
  </si>
  <si>
    <t>Canonical knowledge entities</t>
  </si>
  <si>
    <t>KnowledgeArticle and ResolutionRecord — the training and retrieval corpus for the Resolution agent.</t>
  </si>
  <si>
    <t>As a resolution agent I want prior resolutions as first-class records so that drafts are grounded in what actually worked.</t>
  </si>
  <si>
    <t>GIVEN a resolved ticket WHEN closed THEN a ResolutionRecord is written with actions, outcome, CSAT and confidence.</t>
  </si>
  <si>
    <t>canonical/knowledge</t>
  </si>
  <si>
    <t>ResolutionRecord written for 100% of resolved tickets</t>
  </si>
  <si>
    <t>5, 7, 8</t>
  </si>
  <si>
    <t>F-028</t>
  </si>
  <si>
    <t>Workday HRIS bridge</t>
  </si>
  <si>
    <t>Worker, OrgUnit, CostCenter, JobProfile — read-only. No write-back path exists in code.</t>
  </si>
  <si>
    <t>As an employee-service agent I want manager, department and entitlement context so that the ticket is understood in its organisational setting.</t>
  </si>
  <si>
    <t>GIVEN an Actor with an email match WHEN enriched THEN manager chain resolves to depth 4 AND no write path to Workday exists.</t>
  </si>
  <si>
    <t>canonical/workday</t>
  </si>
  <si>
    <t>F-109</t>
  </si>
  <si>
    <t>Manager chain depth 4</t>
  </si>
  <si>
    <t>W1-CAN-02, W2-ING-04</t>
  </si>
  <si>
    <t>F-029</t>
  </si>
  <si>
    <t>Employee-service extensions</t>
  </si>
  <si>
    <t>Asset, ServiceCatalogItem, Approval, TaskList — optional per-tenant toggle so one model serves CS and ES.</t>
  </si>
  <si>
    <t>As a product owner I want one canonical model for customer and employee service so that we address both markets without a second build.</t>
  </si>
  <si>
    <t>GIVEN the ES toggle off WHEN the model loads THEN ES tables are absent from queries and the CS path is unchanged.</t>
  </si>
  <si>
    <t>canonical/es</t>
  </si>
  <si>
    <t>Toggle verified both ways</t>
  </si>
  <si>
    <t>W1-CAN-02</t>
  </si>
  <si>
    <t>F-030</t>
  </si>
  <si>
    <t>17-field envelope on every row: tenant_id, source_system, external_id, is_synthetic, connector_run_id, observed_at, valid_from and more.</t>
  </si>
  <si>
    <t>As a governance reviewer I want provenance on every row so that the origin of any datum is answerable.</t>
  </si>
  <si>
    <t>GIVEN any row in any table WHEN inspected THEN all 17 provenance fields are populated.</t>
  </si>
  <si>
    <t>canonical/provenance</t>
  </si>
  <si>
    <t>100% field population</t>
  </si>
  <si>
    <t>F-031</t>
  </si>
  <si>
    <t>Graph projection</t>
  </si>
  <si>
    <t>Neo4j node labels and relationships with uniqueness constraints and indexes tuned for temporal queries.</t>
  </si>
  <si>
    <t>As a context compiler I want relationship traversal so that context includes things a keyword search would never find.</t>
  </si>
  <si>
    <t>GIVEN a ticket WHEN a 3-hop query runs (ticket→requester→manager→org) THEN it returns in under 200 ms.</t>
  </si>
  <si>
    <t>neo4j</t>
  </si>
  <si>
    <t>3-hop query &lt;200 ms</t>
  </si>
  <si>
    <t>3, 5</t>
  </si>
  <si>
    <t>W1-CAN-04</t>
  </si>
  <si>
    <t>F-032</t>
  </si>
  <si>
    <t>Miragent salvage assessment</t>
  </si>
  <si>
    <t>Inventory of 31 connectors and 34 agents scored for ITR relevance, test coverage and coupling, with an explicit take/abandon list.</t>
  </si>
  <si>
    <t>As a tech lead I want a written salvage decision so that nobody spends a week exploring code we were never going to use.</t>
  </si>
  <si>
    <t>GIVEN the assessment WHEN reviewed at D03 THEN a documented take/abandon list exists.</t>
  </si>
  <si>
    <t>Adapter</t>
  </si>
  <si>
    <t>analysis</t>
  </si>
  <si>
    <t>Miragent repo</t>
  </si>
  <si>
    <t>Assessment delivered D01</t>
  </si>
  <si>
    <t>W1-ING-01</t>
  </si>
  <si>
    <t>F-033</t>
  </si>
  <si>
    <t>Zendesk emulator metadata scan</t>
  </si>
  <si>
    <t>Run MetadataReader against the Zendesk emulator: ticket fields, forms, triggers, automations, macros, views, custom objects and brands. Produce the inventory report and compare it to the configuration the emulator was seeded with.</t>
  </si>
  <si>
    <t>As a prospect I want the system to discover my configuration automatically so that onboarding is not a consulting project.</t>
  </si>
  <si>
    <t>GIVEN the seeded emulator WHEN the scan runs THEN inventory accuracy is at least 98% against known ground truth.</t>
  </si>
  <si>
    <t>adapters/zendesk</t>
  </si>
  <si>
    <t>F-115</t>
  </si>
  <si>
    <t>Inventory accuracy ≥98%</t>
  </si>
  <si>
    <t>2, 7</t>
  </si>
  <si>
    <t>W3-ING-01</t>
  </si>
  <si>
    <t>F-034</t>
  </si>
  <si>
    <t>Zendesk DataReader &amp; resumable backfill</t>
  </si>
  <si>
    <t>Cursor-based incremental export with per-page checkpointing, 429 backoff and completeness accounting, orchestrated by Temporal.</t>
  </si>
  <si>
    <t>As an operator I want backfill to survive interruptions so that a large historical load completes without babysitting.</t>
  </si>
  <si>
    <t>GIVEN a backfill in flight WHEN the worker is killed THEN it resumes exactly AND completeness reconciles to the source count.</t>
  </si>
  <si>
    <t>100% completeness after interruption</t>
  </si>
  <si>
    <t>W2-ING-01</t>
  </si>
  <si>
    <t>F-035</t>
  </si>
  <si>
    <t>Zendesk EventListener (webhooks)</t>
  </si>
  <si>
    <t>Event-subscription endpoint with HMAC verification, replay-attack window and dedup by external_id plus generated_ts.</t>
  </si>
  <si>
    <t>As a support manager I want near-real-time processing so that the assist arrives while the ticket still matters.</t>
  </si>
  <si>
    <t>GIVEN a burst of 200 events WHEN processed THEN zero are dropped and zero are duplicated.</t>
  </si>
  <si>
    <t>0 drops, 0 duplicates under burst</t>
  </si>
  <si>
    <t>W2-ING-02</t>
  </si>
  <si>
    <t>F-036</t>
  </si>
  <si>
    <t>Canonical normaliser</t>
  </si>
  <si>
    <t>Vendor payload to canonical entities, idempotent on (source_system, external_id), with enum mapping and custom-field passthrough.</t>
  </si>
  <si>
    <t>As an architect I want idempotent normalisation so that replays and re-syncs never corrupt the twin.</t>
  </si>
  <si>
    <t>GIVEN the same payload twice WHEN normalised THEN zero duplicate rows and zero field drift result.</t>
  </si>
  <si>
    <t>canonical/normalise</t>
  </si>
  <si>
    <t>F-024..F-027</t>
  </si>
  <si>
    <t>0 duplicates on replay</t>
  </si>
  <si>
    <t>W1-ING-05</t>
  </si>
  <si>
    <t>F-037</t>
  </si>
  <si>
    <t>Recorded-fixture API mock</t>
  </si>
  <si>
    <t>VCR-style cassettes for metadata scan, incremental export, webhooks and ticket update, so the adapter unit suite runs with no services at all.</t>
  </si>
  <si>
    <t>As an engineer I want to develop offline so that unit tests never need a running emulator.</t>
  </si>
  <si>
    <t>GIVEN no network WHEN the ingestion suite runs THEN it passes entirely from fixtures.</t>
  </si>
  <si>
    <t>tests/fixtures</t>
  </si>
  <si>
    <t>Suite runs with network disabled</t>
  </si>
  <si>
    <t>W1-ING-06</t>
  </si>
  <si>
    <t>F-038</t>
  </si>
  <si>
    <t>Rate-limit &amp; throttle handling</t>
  </si>
  <si>
    <t>Account-wide and per-endpoint limits, queueing, exponential backoff inside Temporal, observable throttle metrics.</t>
  </si>
  <si>
    <t>As an operator I want throttling handled gracefully so that vendor limits degrade throughput rather than causing failures.</t>
  </si>
  <si>
    <t>GIVEN sustained 429 injection WHEN ingestion runs THEN there is zero data loss and zero unhandled failure.</t>
  </si>
  <si>
    <t>0 data loss under 429 injection</t>
  </si>
  <si>
    <t>W3-ING-04</t>
  </si>
  <si>
    <t>F-039</t>
  </si>
  <si>
    <t>Zendesk ActionExecutor (gated)</t>
  </si>
  <si>
    <t>Ticket update, public and internal comments, field and status change, macro apply, KB draft creation — reachable only with an approval record.</t>
  </si>
  <si>
    <t>As a compliance reviewer I want writes to be impossible without human approval so that the recommendation-only commitment is structural, not a policy.</t>
  </si>
  <si>
    <t>GIVEN an action request without an approval record WHEN executed THEN it is rejected AND no such code path exists that bypasses the check.</t>
  </si>
  <si>
    <t>F-062</t>
  </si>
  <si>
    <t>0 ungated writes; proven by test</t>
  </si>
  <si>
    <t>W3-ING-03, W3-AGT-06</t>
  </si>
  <si>
    <t>F-040</t>
  </si>
  <si>
    <t>Native-shape generation, no direct canonical load</t>
  </si>
  <si>
    <t>The corpus is generated into each system's native schema and reaches canonical only through an adapter. Writing canonical rows directly is forbidden and tested for.</t>
  </si>
  <si>
    <t>As a prospect I want to see the ticket in Zendesk itself so that the round-trip is real rather than simulated.</t>
  </si>
  <si>
    <t>GIVEN any canonical row WHEN inspected THEN it carries a connector_run_id traceable to an ingestion run.</t>
  </si>
  <si>
    <t>Demo tickets visible in Zendesk</t>
  </si>
  <si>
    <t>W1-SYN-04, W2-ING-01</t>
  </si>
  <si>
    <t>F-041</t>
  </si>
  <si>
    <t>Adapter contract for future platforms</t>
  </si>
  <si>
    <t>MetadataReader / DataReader / EventListener / ActionExecutor interfaces that Salesforce and ServiceNow will implement unchanged.</t>
  </si>
  <si>
    <t>As an architect I want a stable adapter contract so that Phase 2 platform expansion is additive rather than disruptive.</t>
  </si>
  <si>
    <t>GIVEN the contract WHEN a stub adapter is written THEN it compiles against the same interface with no core change.</t>
  </si>
  <si>
    <t>adapters/base</t>
  </si>
  <si>
    <t>Stub adapter compiles unchanged</t>
  </si>
  <si>
    <t>F-042</t>
  </si>
  <si>
    <t>Cross-system identity resolution</t>
  </si>
  <si>
    <t>Resolve a requester across Zendesk contact, Workday worker, Entra user, Salesforce account and assets, with a confidence score and evidence trail. Seeded Workday/Entra manager disagreements are surfaced, not silently resolved.</t>
  </si>
  <si>
    <t>As a support agent I want to know exactly who I am dealing with so that I stop asking questions the company already knows the answer to.</t>
  </si>
  <si>
    <t>GIVEN a ticket WHEN identity resolution runs THEN match rate is at least 95% across four systems AND any cross-system disagreement is displayed rather than hidden.</t>
  </si>
  <si>
    <t>Context</t>
  </si>
  <si>
    <t>identity/resolve</t>
  </si>
  <si>
    <t>Match rate ≥95%</t>
  </si>
  <si>
    <t>W2-ING-03</t>
  </si>
  <si>
    <t>F-043</t>
  </si>
  <si>
    <t>Account inference by email domain</t>
  </si>
  <si>
    <t>Map end users to accounts by domain, with an override table for shared and consumer domains.</t>
  </si>
  <si>
    <t>As a data steward I want automatic account mapping so that account context is available without manual linking.</t>
  </si>
  <si>
    <t>GIVEN a requester email WHEN resolved THEN the account is inferred correctly AND consumer domains do not produce false matches.</t>
  </si>
  <si>
    <t>identity/account</t>
  </si>
  <si>
    <t>0 false matches on consumer domains</t>
  </si>
  <si>
    <t>F-044</t>
  </si>
  <si>
    <t>Unresolved-identity queue</t>
  </si>
  <si>
    <t>Anything below the match threshold is queued for human resolution rather than being guessed.</t>
  </si>
  <si>
    <t>As a data steward I want ambiguous identities flagged so that the system never silently attaches the wrong person's context.</t>
  </si>
  <si>
    <t>GIVEN a sub-threshold match WHEN processed THEN it enters the unresolved queue AND no context is attached.</t>
  </si>
  <si>
    <t>identity/queue</t>
  </si>
  <si>
    <t>0 silent mis-attachments</t>
  </si>
  <si>
    <t>F-045</t>
  </si>
  <si>
    <t>Customer 360 summary card</t>
  </si>
  <si>
    <t>A cached, refreshed summary: who, which account, tier, entitlements, assets, open tickets, recent history, CSAT trend.</t>
  </si>
  <si>
    <t>As a support agent I want the whole picture in one card so that I am oriented in seconds rather than minutes.</t>
  </si>
  <si>
    <t>GIVEN a ticket WHEN opened THEN the summary card renders in under 2 seconds from warm cache.</t>
  </si>
  <si>
    <t>redis/summary</t>
  </si>
  <si>
    <t>Card render p95 &lt;2 s</t>
  </si>
  <si>
    <t>W2-CTX-07</t>
  </si>
  <si>
    <t>F-046</t>
  </si>
  <si>
    <t>Extract reconciliation fixture</t>
  </si>
  <si>
    <t>Two Workday extract variants with different column names for the same fields, used as a reconciliation test.</t>
  </si>
  <si>
    <t>As a data engineer I want a schema-drift fixture so that adapter robustness is tested rather than assumed.</t>
  </si>
  <si>
    <t>GIVEN both extract variants WHEN loaded THEN both map to one canonical schema with no manual intervention.</t>
  </si>
  <si>
    <t>Both variants map cleanly</t>
  </si>
  <si>
    <t>W2-ING-04</t>
  </si>
  <si>
    <t>F-047</t>
  </si>
  <si>
    <t>Chunking &amp; embedding pipeline</t>
  </si>
  <si>
    <t>Parent/child chunking of tickets, comments and KB, with model and version pinned and recorded in the datasheet.</t>
  </si>
  <si>
    <t>As a retrieval engineer I want pinned embeddings so that results are reproducible and re-embedding is a deliberate act.</t>
  </si>
  <si>
    <t>GIVEN the config WHEN inspected THEN model and version are pinned AND re-embedding is a single command.</t>
  </si>
  <si>
    <t>context/embed</t>
  </si>
  <si>
    <t>Model pinned and documented</t>
  </si>
  <si>
    <t>W2-CTX-01</t>
  </si>
  <si>
    <t>F-048</t>
  </si>
  <si>
    <t>Vector &amp; lexical indexing</t>
  </si>
  <si>
    <t>Roughly 90k chunks indexed for vector search plus a BM25/tsvector lexical index, verified on a hand-labelled probe set.</t>
  </si>
  <si>
    <t>As a retrieval engineer I want both semantic and lexical recall so that exact identifiers and paraphrases both work.</t>
  </si>
  <si>
    <t>GIVEN the probe set WHEN queried THEN recall@20 is at least 0.90 AND a full index rebuild takes under 20 minutes.</t>
  </si>
  <si>
    <t>context/index</t>
  </si>
  <si>
    <t>recall@20 ≥0.90</t>
  </si>
  <si>
    <t>W2-CTX-02</t>
  </si>
  <si>
    <t>F-049</t>
  </si>
  <si>
    <t>Graph relationship load &amp; temporal queries</t>
  </si>
  <si>
    <t>Ticket-person-account-asset-article-incident relationships plus the temporal pattern query ('nth recurrence since date X').</t>
  </si>
  <si>
    <t>As a support director I want to know this is the 14th occurrence since the June release so that I escalate a pattern, not a ticket.</t>
  </si>
  <si>
    <t>GIVEN 10 seeded recurrence patterns WHEN queried THEN counts and first-seen dates are correct for all 10.</t>
  </si>
  <si>
    <t>10/10 seeded patterns found</t>
  </si>
  <si>
    <t>5, 8</t>
  </si>
  <si>
    <t>W2-CTX-03</t>
  </si>
  <si>
    <t>F-050</t>
  </si>
  <si>
    <t>Hybrid retriever</t>
  </si>
  <si>
    <t>Vector plus BM25 plus graph expansion, reciprocal-rank fusion, cross-encoder rerank, per-source attribution retained for citation.</t>
  </si>
  <si>
    <t>As an architect I want fused retrieval so that context quality is the differentiator rather than the choice of LLM.</t>
  </si>
  <si>
    <t>GIVEN the probe set WHEN compared THEN hybrid beats vector-only on precision@5 by a measured margin.</t>
  </si>
  <si>
    <t>context/retrieve</t>
  </si>
  <si>
    <t>F-048, F-049</t>
  </si>
  <si>
    <t>precision@5 beats baseline</t>
  </si>
  <si>
    <t>W2-CTX-04</t>
  </si>
  <si>
    <t>F-051</t>
  </si>
  <si>
    <t>Context Compiler</t>
  </si>
  <si>
    <t>Intent and policy, then query plan, hybrid retrieval, graph grounding, trust filter, and compression into a token-budgeted cited pack.</t>
  </si>
  <si>
    <t>As an agent I want a minimal, cited, permission-filtered context pack so that my answer is grounded and my token spend is predictable.</t>
  </si>
  <si>
    <t>GIVEN any demo ticket WHEN compiled THEN p95 is under 2 s, citation coverage is at least 90%, and evidence is drawn from at least three source systems.</t>
  </si>
  <si>
    <t>context/compile</t>
  </si>
  <si>
    <t>p95 &lt;2 s; citations ≥90%</t>
  </si>
  <si>
    <t>W2-CTX-05</t>
  </si>
  <si>
    <t>F-052</t>
  </si>
  <si>
    <t>Trust filter &amp; ACL enforcement</t>
  </si>
  <si>
    <t>Permission and consent filtering applied before compression, so a context pack can never contain something the requester's context should not see.</t>
  </si>
  <si>
    <t>As a security reviewer I want access control inside the retrieval path so that permissions are not an afterthought in the UI.</t>
  </si>
  <si>
    <t>GIVEN a restricted document WHEN retrieved for an unauthorised context THEN it is excluded before compilation, not hidden at render time.</t>
  </si>
  <si>
    <t>context/trust</t>
  </si>
  <si>
    <t>0 ACL violations in audit</t>
  </si>
  <si>
    <t>5, 7</t>
  </si>
  <si>
    <t>F-053</t>
  </si>
  <si>
    <t>Working memory cache</t>
  </si>
  <si>
    <t>Redis-backed hot context packs, summary cards and capacity counters with TTL and CaseEvent-driven invalidation.</t>
  </si>
  <si>
    <t>As a presenter I want the demo to feel instant so that latency does not undercut the story.</t>
  </si>
  <si>
    <t>GIVEN a warm cache WHEN context is fetched THEN p95 is under 200 ms AND updates invalidate correctly.</t>
  </si>
  <si>
    <t>redis</t>
  </si>
  <si>
    <t>Warm fetch p95 &lt;200 ms</t>
  </si>
  <si>
    <t>F-054</t>
  </si>
  <si>
    <t>Low-context detection</t>
  </si>
  <si>
    <t>Below the retrieval threshold the system raises a low-context flag instead of proceeding to answer.</t>
  </si>
  <si>
    <t>As a support manager I want the system to admit when it does not know so that I can trust it when it does.</t>
  </si>
  <si>
    <t>GIVEN a thin ticket WHEN enriched THEN a low-context flag is raised AND no draft is produced.</t>
  </si>
  <si>
    <t>agents/enricher</t>
  </si>
  <si>
    <t>Flag rate reported per class</t>
  </si>
  <si>
    <t>W3-AGT-03</t>
  </si>
  <si>
    <t>F-055</t>
  </si>
  <si>
    <t>Agent runtime &amp; typed handoffs</t>
  </si>
  <si>
    <t>LangGraph graph with pydantic handoff schemas, confidence-conditional edges and HITL gates declared as first-class nodes.</t>
  </si>
  <si>
    <t>As an architect I want gates declared in the graph so that they are auditable rather than scattered through code.</t>
  </si>
  <si>
    <t>GIVEN a graph with a HITL gate WHEN run THEN it pauses for a human and resumes correctly after approval.</t>
  </si>
  <si>
    <t>Agents</t>
  </si>
  <si>
    <t>agents/runtime</t>
  </si>
  <si>
    <t>Gate pause/resume verified</t>
  </si>
  <si>
    <t>W2-AGT-01</t>
  </si>
  <si>
    <t>F-056</t>
  </si>
  <si>
    <t>Reasoning service abstraction</t>
  </si>
  <si>
    <t>One interface over Haiku, Sonnet and Opus with tiering policy, structured output parsing, retries and per-agent cost metering.</t>
  </si>
  <si>
    <t>As a cost owner I want model tiering behind one abstraction so that we can swap models without touching agents.</t>
  </si>
  <si>
    <t>GIVEN a config change WHEN an agent's tier is changed THEN no agent code changes AND per-agent spend is reportable.</t>
  </si>
  <si>
    <t>agents/reasoning</t>
  </si>
  <si>
    <t>Model swap = config only</t>
  </si>
  <si>
    <t>W2-AGT-02</t>
  </si>
  <si>
    <t>F-057</t>
  </si>
  <si>
    <t>Agent 1 — Listener</t>
  </si>
  <si>
    <t>Deterministic ingestion with no LLM in the hot path; idempotent and resumable.</t>
  </si>
  <si>
    <t>As an operator I want ingestion to be deterministic so that the highest-volume path has no LLM cost or variance.</t>
  </si>
  <si>
    <t>GIVEN a burst test WHEN processed THEN ingestion completeness is 100% against source count.</t>
  </si>
  <si>
    <t>agents/listener</t>
  </si>
  <si>
    <t>100% ingestion completeness</t>
  </si>
  <si>
    <t>W2-AGT-03</t>
  </si>
  <si>
    <t>F-058</t>
  </si>
  <si>
    <t>Agent 2 — Context Enricher</t>
  </si>
  <si>
    <t>Wires the Context Compiler into the graph and emits the typed, cited context pack.</t>
  </si>
  <si>
    <t>As a downstream agent I want a consistent context contract so that every agent reasons over the same evidence.</t>
  </si>
  <si>
    <t>GIVEN a ticket WHEN enriched THEN a typed context pack with citations is emitted or a low-context flag is raised.</t>
  </si>
  <si>
    <t>Citation coverage ≥90%</t>
  </si>
  <si>
    <t>F-059</t>
  </si>
  <si>
    <t>Agent 3 — Triage / Classifier</t>
  </si>
  <si>
    <t>Haiku-first classification to the 100-class taxonomy plus priority, sentiment and language, with calibrated confidence and injection guard.</t>
  </si>
  <si>
    <t>As a support manager I want accurate first-pass classification so that tickets stop being mis-routed at intake.</t>
  </si>
  <si>
    <t>GIVEN the held-out golden split WHEN evaluated THEN macro-F1 is at least 0.80 AND sub-threshold cases are flagged rather than guessed.</t>
  </si>
  <si>
    <t>agents/triage</t>
  </si>
  <si>
    <t>F-014, F-051</t>
  </si>
  <si>
    <t>Macro-F1 ≥0.80</t>
  </si>
  <si>
    <t>W2-AGT-04</t>
  </si>
  <si>
    <t>F-060</t>
  </si>
  <si>
    <t>Agent 4 — Dedup &amp; Linker</t>
  </si>
  <si>
    <t>Embedding similarity plus deterministic fingerprint against the open-ticket index; proposes merge or link, never auto-merges.</t>
  </si>
  <si>
    <t>As a support agent I want related tickets surfaced so that an emerging incident is recognised as one problem, not twenty.</t>
  </si>
  <si>
    <t>GIVEN labelled pairs WHEN evaluated THEN precision is at least 0.85 and recall at least 0.70 AND zero auto-merges occur.</t>
  </si>
  <si>
    <t>agents/dedup</t>
  </si>
  <si>
    <t>P ≥0.85, R ≥0.70</t>
  </si>
  <si>
    <t>W2-AGT-05</t>
  </si>
  <si>
    <t>F-061</t>
  </si>
  <si>
    <t>Zendesk AI field consumption</t>
  </si>
  <si>
    <t>Consume Zendesk's own intent, sentiment and language fields as a free prior, and benchmark our output against them.</t>
  </si>
  <si>
    <t>As a product lead I want to complement rather than fight the incumbent so that our differentiation is context, not classification alone.</t>
  </si>
  <si>
    <t>GIVEN Zendesk triage fields WHEN present THEN they are consumed as a prior AND agreement is reported alongside our own accuracy.</t>
  </si>
  <si>
    <t>Agreement rate reported</t>
  </si>
  <si>
    <t>Agent 5 — Prioritisation &amp; SLA risk</t>
  </si>
  <si>
    <t>Deterministic SLA maths produces the score and breach risk; the LLM writes only the explanation. Recomputes on every SLAClock event.</t>
  </si>
  <si>
    <t>As a support manager I want breach risk I can trust so that prioritisation is defensible to my own leadership.</t>
  </si>
  <si>
    <t>GIVEN replayed SLA clocks WHEN prioritisation runs THEN predictions match deterministic ground truth AND the explanation never alters the number.</t>
  </si>
  <si>
    <t>agents/prioritise</t>
  </si>
  <si>
    <t>Breach prediction accuracy vs replay</t>
  </si>
  <si>
    <t>W3-AGT-01</t>
  </si>
  <si>
    <t>F-063</t>
  </si>
  <si>
    <t>Agent 6 — Assignment, evidence-based</t>
  </si>
  <si>
    <t>Consumes the capability engine's ranked shortlist, applies trigger-conflict checks and produces the assignment proposal with its measured evidence attached. Shadow mode first.</t>
  </si>
  <si>
    <t>As a team lead I want routing suggestions with reasons so that I can accept or override them with confidence.</t>
  </si>
  <si>
    <t>GIVEN the labelled correct-queue ground truth WHEN evaluated THEN acceptance is at least 80% AND load variance is reported.</t>
  </si>
  <si>
    <t>agents/assign</t>
  </si>
  <si>
    <t>F-127</t>
  </si>
  <si>
    <t>Acceptance ≥80%</t>
  </si>
  <si>
    <t>4, 6</t>
  </si>
  <si>
    <t>W3-AGT-02</t>
  </si>
  <si>
    <t>F-064</t>
  </si>
  <si>
    <t>Shadow mode</t>
  </si>
  <si>
    <t>Assignment and routing run in shadow first — proposing without acting — so accuracy is measured before anyone relies on it.</t>
  </si>
  <si>
    <t>As a cautious operator I want to watch it before trusting it so that adoption is earned rather than mandated.</t>
  </si>
  <si>
    <t>GIVEN shadow mode enabled WHEN proposals are made THEN nothing is written AND acceptance is measured against actual human choices.</t>
  </si>
  <si>
    <t>Shadow acceptance measured</t>
  </si>
  <si>
    <t>F-065</t>
  </si>
  <si>
    <t>Trigger-conflict awareness</t>
  </si>
  <si>
    <t>Read existing Zendesk triggers and automations so proposals never fight the customer's own rules.</t>
  </si>
  <si>
    <t>As an admin I want the system to respect my existing automation so that adopting it does not mean unpicking my configuration.</t>
  </si>
  <si>
    <t>GIVEN existing triggers WHEN a proposal conflicts THEN the conflict is surfaced rather than silently overriding.</t>
  </si>
  <si>
    <t>Conflicts surfaced, never overridden</t>
  </si>
  <si>
    <t>F-066</t>
  </si>
  <si>
    <t>Agent 7 — Resolution drafting</t>
  </si>
  <si>
    <t>Retrieval over ResolutionRecord, KB and runbooks producing a cited draft reply, suggested actions and a confidence score.</t>
  </si>
  <si>
    <t>As a support agent I want a draft I can edit rather than a blank box so that my handling time drops without my judgement being removed.</t>
  </si>
  <si>
    <t>GIVEN golden tickets WHEN drafted THEN at least 30% receive a usable draft AND every claim traces to a citation.</t>
  </si>
  <si>
    <t>agents/resolve</t>
  </si>
  <si>
    <t>F-051, F-027</t>
  </si>
  <si>
    <t>≥30% usable drafts</t>
  </si>
  <si>
    <t>W3-AGT-04</t>
  </si>
  <si>
    <t>F-067</t>
  </si>
  <si>
    <t>Runbook grounding</t>
  </si>
  <si>
    <t>20 authored runbooks covering the classes that represent roughly 85% of volume, used as primary grounding for drafts.</t>
  </si>
  <si>
    <t>As a support director I want drafts grounded in our procedures so that the system reinforces how we work rather than inventing new ways.</t>
  </si>
  <si>
    <t>GIVEN a class with a runbook WHEN drafted THEN the runbook is cited in the draft.</t>
  </si>
  <si>
    <t>content/runbooks</t>
  </si>
  <si>
    <t>20 runbooks loaded and cited</t>
  </si>
  <si>
    <t>W3-BA-01</t>
  </si>
  <si>
    <t>F-068</t>
  </si>
  <si>
    <t>Injection-resistant drafting</t>
  </si>
  <si>
    <t>Drafts are grounded strictly in retrieved evidence; instructions embedded in ticket text or attachments are neutralised.</t>
  </si>
  <si>
    <t>As a security reviewer I want the drafting agent to ignore instructions hidden in customer content so that a ticket cannot hijack the system.</t>
  </si>
  <si>
    <t>GIVEN the adversarial suite WHEN run THEN zero injections succeed in altering agent behaviour.</t>
  </si>
  <si>
    <t>0 successful injections</t>
  </si>
  <si>
    <t>W4-EVL-02</t>
  </si>
  <si>
    <t>F-069</t>
  </si>
  <si>
    <t>Agent 8 — Escalation</t>
  </si>
  <si>
    <t>Triggered by low confidence or no match; produces a structured escalation summary and a suggested owner.</t>
  </si>
  <si>
    <t>As a support agent I want a clean handoff summary so that escalation stops meaning 'start again from scratch'.</t>
  </si>
  <si>
    <t>GIVEN any ticket WHEN the pipeline completes THEN it has either a draft or an escalation summary — never neither.</t>
  </si>
  <si>
    <t>agents/escalate</t>
  </si>
  <si>
    <t>0 tickets terminate without a path</t>
  </si>
  <si>
    <t>W3-AGT-05</t>
  </si>
  <si>
    <t>F-070</t>
  </si>
  <si>
    <t>Agent 9 — Action Executor</t>
  </si>
  <si>
    <t>Deterministic. Consumes an approval record, performs the write, retries with backoff, records the outcome as CaseEvent and ResolutionRecord.</t>
  </si>
  <si>
    <t>As a compliance reviewer I want execution separated from reasoning so that the acting component is simple enough to audit completely.</t>
  </si>
  <si>
    <t>GIVEN an approval record WHEN executed THEN write success and audit completeness are both 100% on the demo path.</t>
  </si>
  <si>
    <t>agents/execute</t>
  </si>
  <si>
    <t>100% write success and audit</t>
  </si>
  <si>
    <t>W3-AGT-06</t>
  </si>
  <si>
    <t>F-071</t>
  </si>
  <si>
    <t>End-to-end orchestration</t>
  </si>
  <si>
    <t>All agents assembled into one graph with conditional edges, Temporal durability on long steps, and deterministic replay mode.</t>
  </si>
  <si>
    <t>As a presenter I want the full path to run unattended so that the demo is a system, not a sequence of scripts.</t>
  </si>
  <si>
    <t>GIVEN a webhook WHEN received THEN the pipeline runs to approval-pending in under 30 seconds without intervention.</t>
  </si>
  <si>
    <t>agents/graph</t>
  </si>
  <si>
    <t>End-to-end p95 &lt;30 s</t>
  </si>
  <si>
    <t>All</t>
  </si>
  <si>
    <t>W3-AGT-07</t>
  </si>
  <si>
    <t>F-072</t>
  </si>
  <si>
    <t>Agent 10 — KB Curator</t>
  </si>
  <si>
    <t>Drafts or updates a Guide article from the ResolutionRecord, dedupes against existing KB and flags coverage gaps. Draft status only.</t>
  </si>
  <si>
    <t>As a knowledge manager I want documentation to be written as a by-product of resolution so that the KB stops decaying.</t>
  </si>
  <si>
    <t>GIVEN sampled resolved tickets WHEN curated THEN at least 50% produce an acceptable draft AND nothing publishes without approval.</t>
  </si>
  <si>
    <t>agents/curator</t>
  </si>
  <si>
    <t>≥50% acceptable drafts</t>
  </si>
  <si>
    <t>W4-AGT-01</t>
  </si>
  <si>
    <t>F-073</t>
  </si>
  <si>
    <t>KB gap detection</t>
  </si>
  <si>
    <t>Identify intents with no adequate article and rank the gaps by ticket volume and handling cost.</t>
  </si>
  <si>
    <t>As a knowledge manager I want to know what to write next so that documentation effort follows demand.</t>
  </si>
  <si>
    <t>GIVEN the corpus WHEN analysed THEN gaps are ranked by volume AND deliberately seeded gaps are correctly identified.</t>
  </si>
  <si>
    <t>Seeded gaps detected</t>
  </si>
  <si>
    <t>F-074</t>
  </si>
  <si>
    <t>Agent 12 — Pattern Miner</t>
  </si>
  <si>
    <t>Batch clustering over event history producing recurring patterns, root-cause clusters, deflection candidates and week-over-week movement.</t>
  </si>
  <si>
    <t>As a support director I want to see the pattern behind the volume so that I can fix causes instead of processing symptoms.</t>
  </si>
  <si>
    <t>GIVEN 10 seeded recurrence patterns WHEN mined THEN all 10 surface without being told they exist.</t>
  </si>
  <si>
    <t>agents/miner</t>
  </si>
  <si>
    <t>10/10 seeded patterns surfaced</t>
  </si>
  <si>
    <t>W4-AGT-02</t>
  </si>
  <si>
    <t>F-075</t>
  </si>
  <si>
    <t>Weekly intelligence digest</t>
  </si>
  <si>
    <t>A readable weekly summary: recurring clusters, deflection candidates, KB gaps, SLA hotspots, trend.</t>
  </si>
  <si>
    <t>As a support director I want a weekly briefing I would actually act on so that the system earns its place in my routine.</t>
  </si>
  <si>
    <t>GIVEN a week of data WHEN generated THEN the digest renders from live data and names specific, actionable items.</t>
  </si>
  <si>
    <t>Digest rated actionable by BA review</t>
  </si>
  <si>
    <t>W4-CON-02</t>
  </si>
  <si>
    <t>F-076</t>
  </si>
  <si>
    <t>Agent 11 — QA / Verifier</t>
  </si>
  <si>
    <t>Opus, sampled. Scores a sample of runs plus all low-confidence ones for hallucination, groundedness and calibration.</t>
  </si>
  <si>
    <t>As an architect I want the system to grade itself so that quality drift is detected before a customer detects it.</t>
  </si>
  <si>
    <t>GIVEN sampled runs WHEN verified THEN a calibration report shows stated confidence against measured accuracy.</t>
  </si>
  <si>
    <t>agents/qa</t>
  </si>
  <si>
    <t>Calibration report produced</t>
  </si>
  <si>
    <t>W4-AGT-03</t>
  </si>
  <si>
    <t>F-077</t>
  </si>
  <si>
    <t>Confidence calibration</t>
  </si>
  <si>
    <t>Thresholds tuned across triage, dedup, assignment and resolution so stated confidence matches observed accuracy.</t>
  </si>
  <si>
    <t>As a user I want confidence scores to mean something so that I know when to look closely and when to trust.</t>
  </si>
  <si>
    <t>GIVEN the calibration run WHEN reviewed THEN no agent claims a confidence its measured accuracy does not support.</t>
  </si>
  <si>
    <t>agents/calibrate</t>
  </si>
  <si>
    <t>Calibration error within tolerance</t>
  </si>
  <si>
    <t>W4-AGT-04</t>
  </si>
  <si>
    <t>F-078</t>
  </si>
  <si>
    <t>Resolution feedback loop</t>
  </si>
  <si>
    <t>Approved, edited and rejected outcomes are captured as ResolutionRecords, improving retrieval for the next similar ticket.</t>
  </si>
  <si>
    <t>As a product lead I want the system to compound so that value grows with use rather than staying flat.</t>
  </si>
  <si>
    <t>GIVEN an approval decision WHEN recorded THEN a ResolutionRecord is written with the human's edits preserved.</t>
  </si>
  <si>
    <t>100% of decisions captured</t>
  </si>
  <si>
    <t>F-079</t>
  </si>
  <si>
    <t>Console shell &amp; navigation</t>
  </si>
  <si>
    <t>React application with layout, routing, auth stub, API client and design tokens. Demo-grade by explicit decision.</t>
  </si>
  <si>
    <t>As a demo audience I want a coherent interface so that the intelligence is not obscured by rough edges.</t>
  </si>
  <si>
    <t>GIVEN the console WHEN navigated THEN all routes render without console errors.</t>
  </si>
  <si>
    <t>UI</t>
  </si>
  <si>
    <t>console</t>
  </si>
  <si>
    <t>0 console errors</t>
  </si>
  <si>
    <t>W1-CON-01</t>
  </si>
  <si>
    <t>F-080</t>
  </si>
  <si>
    <t>Corpus dashboard</t>
  </si>
  <si>
    <t>Volume by category, channel, account tier and month; agent roster; KB coverage — all live counts.</t>
  </si>
  <si>
    <t>As a prospect I want to see the scale of the world so that everything after it is contextualised.</t>
  </si>
  <si>
    <t>GIVEN a cold start WHEN the dashboard loads THEN it renders 6,000 tickets with no manual steps.</t>
  </si>
  <si>
    <t>console/dashboard</t>
  </si>
  <si>
    <t>Renders from cold start</t>
  </si>
  <si>
    <t>W1-CON-02</t>
  </si>
  <si>
    <t>F-081</t>
  </si>
  <si>
    <t>Approval queue</t>
  </si>
  <si>
    <t>Prioritised list with filters, side-by-side draft and evidence, approve/edit/reject with a mandatory reason on reject, keyboard-first.</t>
  </si>
  <si>
    <t>As a support agent I want to process suggestions quickly so that the approval gate is a workflow, not a tax.</t>
  </si>
  <si>
    <t>GIVEN 10 queued tickets WHEN processed THEN a human completes them in under 5 minutes without using the mouse.</t>
  </si>
  <si>
    <t>console/queue</t>
  </si>
  <si>
    <t>10 tickets in &lt;5 min</t>
  </si>
  <si>
    <t>W3-CON-01</t>
  </si>
  <si>
    <t>F-082</t>
  </si>
  <si>
    <t>Ticket 360 view</t>
  </si>
  <si>
    <t>Requester identity across systems, org and manager chain, assets, entitlements, account tier and full cross-channel timeline.</t>
  </si>
  <si>
    <t>As a support agent I want everything about this person and problem in one place so that I stop switching between five systems.</t>
  </si>
  <si>
    <t>GIVEN any ticket WHEN opened THEN the identity panel populates in under 2 seconds showing the evidence for each match.</t>
  </si>
  <si>
    <t>console/ticket</t>
  </si>
  <si>
    <t>Panel load p95 &lt;2 s</t>
  </si>
  <si>
    <t>W3-CON-02</t>
  </si>
  <si>
    <t>F-083</t>
  </si>
  <si>
    <t>Context &amp; citations panel</t>
  </si>
  <si>
    <t>The context pack rendered as evidence cards, each click-through to its source ticket, comment, article or graph path.</t>
  </si>
  <si>
    <t>As a sceptical reviewer I want to check every claim so that I can verify the system rather than believe it.</t>
  </si>
  <si>
    <t>GIVEN any displayed claim WHEN clicked THEN its source opens AND no uncited claim is rendered.</t>
  </si>
  <si>
    <t>console/context</t>
  </si>
  <si>
    <t>0 uncited claims displayed</t>
  </si>
  <si>
    <t>W3-CON-03</t>
  </si>
  <si>
    <t>F-084</t>
  </si>
  <si>
    <t>Triage, dedup &amp; assignment explainers</t>
  </si>
  <si>
    <t>Classification with confidence, linked near-duplicates, SLA risk badge and a ranked assignee shortlist with reasons.</t>
  </si>
  <si>
    <t>As a team lead I want to see why so that I can disagree intelligently rather than just accept or reject.</t>
  </si>
  <si>
    <t>GIVEN a proposal WHEN displayed THEN explanations are read from the decision record, not re-derived in the UI.</t>
  </si>
  <si>
    <t>console/explain</t>
  </si>
  <si>
    <t>Explanations match decision record</t>
  </si>
  <si>
    <t>W3-CON-04</t>
  </si>
  <si>
    <t>F-085</t>
  </si>
  <si>
    <t>Audit viewer</t>
  </si>
  <si>
    <t>Recommendation, evidence, confidence, human decision, action and outcome as one immutable timeline per ticket.</t>
  </si>
  <si>
    <t>As a compliance reviewer I want the full decision history so that an AI recommendation is as auditable as a human one.</t>
  </si>
  <si>
    <t>GIVEN any demo-path action WHEN inspected THEN a complete, human-readable trail exists.</t>
  </si>
  <si>
    <t>console/audit</t>
  </si>
  <si>
    <t>F-089</t>
  </si>
  <si>
    <t>100% trail completeness</t>
  </si>
  <si>
    <t>W3-CON-05</t>
  </si>
  <si>
    <t>F-086</t>
  </si>
  <si>
    <t>KB draft review</t>
  </si>
  <si>
    <t>Review the drafted article beside its source resolution; approve to publish as draft, edit, or reject with reason.</t>
  </si>
  <si>
    <t>As a knowledge manager I want to approve documentation before it exists publicly so that quality control stays with a person.</t>
  </si>
  <si>
    <t>GIVEN an approved draft WHEN published THEN it appears in the Zendesk emulator Help Center with draft = true.</t>
  </si>
  <si>
    <t>console/kb</t>
  </si>
  <si>
    <t>Draft appears in Guide as draft</t>
  </si>
  <si>
    <t>W4-CON-01</t>
  </si>
  <si>
    <t>F-087</t>
  </si>
  <si>
    <t>Weekly digest view</t>
  </si>
  <si>
    <t>The Pattern Miner output rendered as a briefing a support director would act on.</t>
  </si>
  <si>
    <t>As a support director I want a weekly view of what is really happening so that I manage causes rather than queues.</t>
  </si>
  <si>
    <t>GIVEN live data WHEN rendered THEN the digest names specific clusters, gaps and deflection candidates.</t>
  </si>
  <si>
    <t>console/digest</t>
  </si>
  <si>
    <t>Rated actionable in BA review</t>
  </si>
  <si>
    <t>F-088</t>
  </si>
  <si>
    <t>Demo polish &amp; replay mode</t>
  </si>
  <si>
    <t>Empty and loading states, error handling, branding, plus a response cache and replay switch for stage safety.</t>
  </si>
  <si>
    <t>As a presenter I want the demo to survive a bad network so that a connectivity problem is not a credibility problem.</t>
  </si>
  <si>
    <t>GIVEN all outbound LLM calls blocked WHEN the demo runs THEN it completes end to end from cache.</t>
  </si>
  <si>
    <t>Full run with LLM calls blocked</t>
  </si>
  <si>
    <t>W4-CON-03, W4-CON-04</t>
  </si>
  <si>
    <t>Immutable decision audit</t>
  </si>
  <si>
    <t>Append-only record of recommendation, evidence citations, confidence, model and version, latency, cost, human decision and outcome.</t>
  </si>
  <si>
    <t>As a compliance reviewer I want every AI decision recorded so that we can meet human-oversight expectations from day one.</t>
  </si>
  <si>
    <t>GIVEN any agent action WHEN executed THEN a decision record exists AND no agent can merge without emitting one.</t>
  </si>
  <si>
    <t>Governance</t>
  </si>
  <si>
    <t>governance/audit</t>
  </si>
  <si>
    <t>100% of actions audited</t>
  </si>
  <si>
    <t>W2-ING-05, W2-AGT-06</t>
  </si>
  <si>
    <t>F-090</t>
  </si>
  <si>
    <t>PII redaction before every LLM call</t>
  </si>
  <si>
    <t>Presidio-based detection and reversible tokenisation applied before any outbound model call. Fails closed.</t>
  </si>
  <si>
    <t>As a data protection officer I want personal data removed before it leaves our boundary so that the VPC story holds end to end.</t>
  </si>
  <si>
    <t>GIVEN a 200-ticket trace audit WHEN reviewed THEN zero unredacted PII reached an LLM call.</t>
  </si>
  <si>
    <t>governance/pii</t>
  </si>
  <si>
    <t>0 PII leaks</t>
  </si>
  <si>
    <t>W2-CTX-06</t>
  </si>
  <si>
    <t>F-091</t>
  </si>
  <si>
    <t>Adversarial security suite</t>
  </si>
  <si>
    <t>50 crafted cases covering prompt injection in bodies and attachments, PII exfiltration attempts, jailbreaks and cross-tenant probing.</t>
  </si>
  <si>
    <t>As a security reviewer I want the system attacked before a prospect sees it so that we find the holes first.</t>
  </si>
  <si>
    <t>GIVEN the suite WHEN run THEN zero confirmed leaks and zero successful injections, with every catch logged.</t>
  </si>
  <si>
    <t>evals/adversarial</t>
  </si>
  <si>
    <t>0 leaks, 0 successful injections</t>
  </si>
  <si>
    <t>F-092</t>
  </si>
  <si>
    <t>Tenant isolation</t>
  </si>
  <si>
    <t>tenant_id on every row and every query path, with no cross-tenant read possible even in a single-tenant deployment.</t>
  </si>
  <si>
    <t>As an architect I want isolation designed in now so that multi-tenant deployment later is a configuration change, not a rewrite.</t>
  </si>
  <si>
    <t>GIVEN a cross-tenant probe WHEN attempted THEN it returns nothing and is logged as a security event.</t>
  </si>
  <si>
    <t>governance/tenancy</t>
  </si>
  <si>
    <t>0 cross-tenant reads</t>
  </si>
  <si>
    <t>F-093</t>
  </si>
  <si>
    <t>Hard HITL gate on every write</t>
  </si>
  <si>
    <t>No code path writes to an external system without a matching approval record. Enforced structurally and proven by test.</t>
  </si>
  <si>
    <t>As a stakeholder I want the recommendation-only commitment to be structural so that it cannot be undone by a configuration mistake.</t>
  </si>
  <si>
    <t>GIVEN the codebase WHEN audited THEN no ungated write path exists AND the test proving it is in CI.</t>
  </si>
  <si>
    <t>governance/hitl</t>
  </si>
  <si>
    <t>0 ungated write paths</t>
  </si>
  <si>
    <t>W3-ING-03</t>
  </si>
  <si>
    <t>F-094</t>
  </si>
  <si>
    <t>RBAC on console and API</t>
  </si>
  <si>
    <t>Role-based access on approval, publication and audit views, with actions attributed to a named user.</t>
  </si>
  <si>
    <t>As an administrator I want approvals attributable so that accountability for an AI-assisted action is unambiguous.</t>
  </si>
  <si>
    <t>GIVEN an approval WHEN recorded THEN it names the approving user and their role.</t>
  </si>
  <si>
    <t>governance/rbac</t>
  </si>
  <si>
    <t>100% of approvals attributed</t>
  </si>
  <si>
    <t>W3-API-02</t>
  </si>
  <si>
    <t>F-095</t>
  </si>
  <si>
    <t>Encryption &amp; secret handling</t>
  </si>
  <si>
    <t>TLS in transit, encryption at rest, secrets in KMS, least-privilege OAuth scopes.</t>
  </si>
  <si>
    <t>As a prospect CISO I want standard controls in place so that a security review does not stop the pilot.</t>
  </si>
  <si>
    <t>GIVEN the deployment WHEN reviewed THEN all four controls are evidenced.</t>
  </si>
  <si>
    <t>governance/crypto</t>
  </si>
  <si>
    <t>4/4 controls evidenced</t>
  </si>
  <si>
    <t>F-096</t>
  </si>
  <si>
    <t>Evaluation harness</t>
  </si>
  <si>
    <t>Account-level held-out splits scoring triage macro-F1, dedup precision/recall, identity match, routing accuracy and citation coverage.</t>
  </si>
  <si>
    <t>As an architect I want one command to produce the metrics so that quality is a number rather than an impression.</t>
  </si>
  <si>
    <t>GIVEN the harness WHEN run THEN the metrics pack is produced AND CI fails on regression beyond tolerance.</t>
  </si>
  <si>
    <t>Quality</t>
  </si>
  <si>
    <t>evals/harness</t>
  </si>
  <si>
    <t>Metrics pack in one command</t>
  </si>
  <si>
    <t>W2-EVL-01</t>
  </si>
  <si>
    <t>F-097</t>
  </si>
  <si>
    <t>Corpus validation gates</t>
  </si>
  <si>
    <t>All 18 gates from the Master Spec, run as a batch with a published scorecard.</t>
  </si>
  <si>
    <t>As a sceptical stakeholder I want corpus quality measured against stated gates so that quality claims are testable.</t>
  </si>
  <si>
    <t>GIVEN the gate run WHEN complete THEN 18 of 18 have run AND each failure has an owner and a decision.</t>
  </si>
  <si>
    <t>evals/gates</t>
  </si>
  <si>
    <t>18/18 gates reported</t>
  </si>
  <si>
    <t>F-098</t>
  </si>
  <si>
    <t>Label-leakage prevention</t>
  </si>
  <si>
    <t>case_label is a separate table, code-fenced to evals/, with gate G-18 guarding against leakage into serving.</t>
  </si>
  <si>
    <t>As an evaluator I want leakage structurally impossible so that our accuracy numbers survive scrutiny.</t>
  </si>
  <si>
    <t>GIVEN the serving path WHEN scanned THEN zero references to case_label exist outside evals/.</t>
  </si>
  <si>
    <t>G-18 passes</t>
  </si>
  <si>
    <t>F-099</t>
  </si>
  <si>
    <t>Performance benchmarking</t>
  </si>
  <si>
    <t>p95 latency targets measured on demo hardware rather than a developer laptop, with query tuning and cache warming.</t>
  </si>
  <si>
    <t>As a presenter I want measured latency on the actual machine so that stage performance is known, not hoped for.</t>
  </si>
  <si>
    <t>GIVEN demo hardware WHEN benchmarked THEN context pack p95 is under 2 s and full pipeline p95 under 30 s.</t>
  </si>
  <si>
    <t>evals/perf</t>
  </si>
  <si>
    <t>p95 targets met on demo hardware</t>
  </si>
  <si>
    <t>W4-EVL-04</t>
  </si>
  <si>
    <t>F-100</t>
  </si>
  <si>
    <t>Cold-start reproducibility test</t>
  </si>
  <si>
    <t>Full teardown, rebuild, seed and index from an empty machine, timed and executed by someone other than the author.</t>
  </si>
  <si>
    <t>As a programme lead I want the demo reproducible by a third party so that it is a system rather than a personal setup.</t>
  </si>
  <si>
    <t>GIVEN an empty machine WHEN rebuilt THEN it is demo-ready in under 45 minutes, executed by a different engineer.</t>
  </si>
  <si>
    <t>evals/coldstart</t>
  </si>
  <si>
    <t>Empty to demo-ready &lt;45 min</t>
  </si>
  <si>
    <t>W4-EVL-05</t>
  </si>
  <si>
    <t>F-101</t>
  </si>
  <si>
    <t>Audit completeness verification</t>
  </si>
  <si>
    <t>Automated check that 100% of demo-path actions have a full recommendation-to-outcome trail and no write lacks an approval.</t>
  </si>
  <si>
    <t>As a compliance reviewer I want completeness verified automatically so that the claim is evidenced rather than asserted.</t>
  </si>
  <si>
    <t>GIVEN all demo-path actions WHEN checked THEN completeness returns 100%.</t>
  </si>
  <si>
    <t>evals/audit</t>
  </si>
  <si>
    <t>100% completeness</t>
  </si>
  <si>
    <t>W4-EVL-03</t>
  </si>
  <si>
    <t>F-102</t>
  </si>
  <si>
    <t>Eight-scene demo narrative</t>
  </si>
  <si>
    <t>The scripted eight-scene walkthrough with named tickets, accounts, agents and outcomes, plus a recovery line for every step that could fail.</t>
  </si>
  <si>
    <t>As a presenter I want a script someone else could run so that the demo does not depend on one person.</t>
  </si>
  <si>
    <t>GIVEN the script WHEN rehearsed by a non-builder THEN it runs end to end in 12 minutes plus or minus 90 seconds.</t>
  </si>
  <si>
    <t>Enablement</t>
  </si>
  <si>
    <t>docs/demo</t>
  </si>
  <si>
    <t>12 min ±90 s across two rehearsals</t>
  </si>
  <si>
    <t>W1-BA-03, W3-BA-03, W4-BA-02</t>
  </si>
  <si>
    <t>F-103</t>
  </si>
  <si>
    <t>Curated demo golden set</t>
  </si>
  <si>
    <t>Eight hand-verified tickets with the multi-channel richness, handoffs and evidence the narrative claims, including the voiced call.</t>
  </si>
  <si>
    <t>As a presenter I want the demo tickets verified in advance so that nothing surprises me on stage.</t>
  </si>
  <si>
    <t>GIVEN the 8 demo tickets WHEN walked manually THEN each behaves exactly as the script describes.</t>
  </si>
  <si>
    <t>evals/goldenset</t>
  </si>
  <si>
    <t>8/8 tickets verified</t>
  </si>
  <si>
    <t>W2-BA-02</t>
  </si>
  <si>
    <t>F-104</t>
  </si>
  <si>
    <t>Objection-handling pack</t>
  </si>
  <si>
    <t>Evidence-backed answers on synthetic versus real data, the Zendesk AI comparison, the cost anchor, why recommendation-only, and what Phase 2 adds.</t>
  </si>
  <si>
    <t>As a presenter I want prepared answers so that the hardest questions strengthen the story instead of derailing it.</t>
  </si>
  <si>
    <t>GIVEN five anticipated objections WHEN raised THEN each has a one-page evidence-backed answer, rehearsed.</t>
  </si>
  <si>
    <t>docs/objections</t>
  </si>
  <si>
    <t>5 objections prepared and rehearsed</t>
  </si>
  <si>
    <t>1, 8</t>
  </si>
  <si>
    <t>W4-BA-01</t>
  </si>
  <si>
    <t>F-105</t>
  </si>
  <si>
    <t>Fallback recording</t>
  </si>
  <si>
    <t>A clean full-length recording of the whole demo, made on D19, as the stage insurance policy.</t>
  </si>
  <si>
    <t>As a presenter I want a recording ready so that a catastrophic failure costs me polish, not the meeting.</t>
  </si>
  <si>
    <t>GIVEN the recording WHEN played THEN it covers all eight scenes at full length.</t>
  </si>
  <si>
    <t>Recording exists and plays</t>
  </si>
  <si>
    <t>W4-EVL-07</t>
  </si>
  <si>
    <t>F-106</t>
  </si>
  <si>
    <t>Handover pack &amp; Phase 2 backlog</t>
  </si>
  <si>
    <t>Architecture README, operational runbook, consolidated decision log, known issues and the prioritised Phase 2 backlog.</t>
  </si>
  <si>
    <t>As the Phase 2 team I want to pick this up from documentation so that four weeks of context is not locked in six heads.</t>
  </si>
  <si>
    <t>GIVEN the pack WHEN read by a new engineer THEN they can run and extend the system without asking anyone.</t>
  </si>
  <si>
    <t>docs</t>
  </si>
  <si>
    <t>New engineer self-sufficient from docs</t>
  </si>
  <si>
    <t>F-107</t>
  </si>
  <si>
    <t>Metrics pack for the deck</t>
  </si>
  <si>
    <t>One publishable page of measured results: triage F1, dedup, routing, groundedness, draft usefulness, latency.</t>
  </si>
  <si>
    <t>As a commercial lead I want measured numbers in the deck so that claims are evidenced rather than aspirational.</t>
  </si>
  <si>
    <t>GIVEN the metrics pack WHEN produced THEN every headline claim in the deck traces to a measured number.</t>
  </si>
  <si>
    <t>evals/report</t>
  </si>
  <si>
    <t>Every claim traceable to a measurement</t>
  </si>
  <si>
    <t>W4-EVL-01</t>
  </si>
  <si>
    <t>F-108</t>
  </si>
  <si>
    <t>Zendesk replica schema</t>
  </si>
  <si>
    <t>tickets, users, organizations, ticket_comments, ticket_audits, ticket_metric_events, groups, macros, triggers, ticket_fields, custom_object_records, hc_articles — vendor field names, bigint IDs, generated_ts ordering.</t>
  </si>
  <si>
    <t>As an architect I want the source data shaped exactly as Zendesk shapes it so that our adapter is exercised against reality rather than against a convenience.</t>
  </si>
  <si>
    <t>GIVEN the schema WHEN a query runs THEN rows are indistinguishable in shape from a real Zendesk API response.</t>
  </si>
  <si>
    <t>Sources</t>
  </si>
  <si>
    <t>sources/zendesk</t>
  </si>
  <si>
    <t>Schema migrates from empty; shapes match vendor</t>
  </si>
  <si>
    <t>1,2</t>
  </si>
  <si>
    <t>W1-SRC-01</t>
  </si>
  <si>
    <t>Workday replica schema</t>
  </si>
  <si>
    <t>Worker, Supervisory_Organization, Job_Profile, Cost_Center, Worker_Skill, Position — Workday's own field naming, including the two extract variants used as a reconciliation fixture.</t>
  </si>
  <si>
    <t>As a data engineer I want both Workday extract variants so that schema drift is tested rather than assumed.</t>
  </si>
  <si>
    <t>GIVEN both variants WHEN ingested THEN both map to one canonical schema with no manual intervention.</t>
  </si>
  <si>
    <t>sources/workday</t>
  </si>
  <si>
    <t>3,6</t>
  </si>
  <si>
    <t>F-110</t>
  </si>
  <si>
    <t>Salesforce Service Cloud replica schema</t>
  </si>
  <si>
    <t>Case, Contact, Account, User, CaseComment, EmailMessage, Entitlement, Knowledge__kav — 18-character case-safe IDs and zero-padded CaseNumber.</t>
  </si>
  <si>
    <t>As an architect I want a second CRM in a genuinely different shape so that the vendor-agnostic canonical core is demonstrated rather than asserted.</t>
  </si>
  <si>
    <t>GIVEN the schema WHEN inspected THEN IDs are 18-character Salesforce-format strings, not UUIDs.</t>
  </si>
  <si>
    <t>sources/salesforce</t>
  </si>
  <si>
    <t>Schema migrates; ID formats correct</t>
  </si>
  <si>
    <t>1,5</t>
  </si>
  <si>
    <t>W1-SRC-02</t>
  </si>
  <si>
    <t>F-111</t>
  </si>
  <si>
    <t>Jira replica schema</t>
  </si>
  <si>
    <t>issues, projects, issue_comments, changelog, issue_links, sprints, users — PROJECT-nnn keys and changelog semantics.</t>
  </si>
  <si>
    <t>As a support agent I want to see the engineering ticket for my problem so that I stop telling customers we are looking into it when engineering already fixed it.</t>
  </si>
  <si>
    <t>GIVEN a linked defect WHEN a ticket is enriched THEN the Jira issue and its status appear in the context pack.</t>
  </si>
  <si>
    <t>sources/jira</t>
  </si>
  <si>
    <t>Schema migrates; keys formatted PROJECT-nnn</t>
  </si>
  <si>
    <t>4,5</t>
  </si>
  <si>
    <t>F-112</t>
  </si>
  <si>
    <t>Microsoft Entra replica schema</t>
  </si>
  <si>
    <t>users, groups, group_members, devices, sign_in_logs — GUID IDs, Graph-shaped fields. Captures the group and device structure Workday does not.</t>
  </si>
  <si>
    <t>As an IT service desk I want group membership and device context so that access questions answer themselves.</t>
  </si>
  <si>
    <t>GIVEN a requester WHEN resolved THEN their group memberships and registered devices are available to the context pack.</t>
  </si>
  <si>
    <t>sources/entra</t>
  </si>
  <si>
    <t>Schema migrates; GUIDs and Graph field names</t>
  </si>
  <si>
    <t>W1-SRC-03</t>
  </si>
  <si>
    <t>F-113</t>
  </si>
  <si>
    <t>Slack / Teams replica schema</t>
  </si>
  <si>
    <t>channels, messages, users, reactions, files — epoch.microsecond timestamps and thread_ts reply semantics, including Connect channels.</t>
  </si>
  <si>
    <t>As a support director I want the off-platform conversation captured so that the resolution that actually happened is not invisible.</t>
  </si>
  <si>
    <t>GIVEN a case with a Slack thread WHEN enriched THEN the thread appears as linked evidence with participants.</t>
  </si>
  <si>
    <t>sources/slack</t>
  </si>
  <si>
    <t>Thread semantics reproduce on a seeded thread</t>
  </si>
  <si>
    <t>2,5</t>
  </si>
  <si>
    <t>F-114</t>
  </si>
  <si>
    <t>Emulator common layer</t>
  </si>
  <si>
    <t>Shared cursor / offset / OData pagination, rate limiting returning a real 429 with Retry-After, vendor-shaped error envelopes, auth stubs, and a ?chaos= switch injecting 429s, 500s, slow responses and partial pages.</t>
  </si>
  <si>
    <t>As an engineer I want to make the source systems misbehave on demand so that resilience is tested honestly rather than hoped for.</t>
  </si>
  <si>
    <t>GIVEN chaos mode WHEN an adapter runs THEN it backs off correctly and loses no data.</t>
  </si>
  <si>
    <t>sources/common</t>
  </si>
  <si>
    <t>Sustained 429 injection causes zero data loss</t>
  </si>
  <si>
    <t>W1-SRC-04</t>
  </si>
  <si>
    <t>Zendesk emulator API</t>
  </si>
  <si>
    <t>Cursor-based incremental export with end_of_stream, sideloads, HMAC-signed event webhooks, ticket update endpoint, account-wide rate limit. The only emulator with a write path.</t>
  </si>
  <si>
    <t>As an architect I want write-back proven against a controllable API so that the round-trip is demonstrated without an external dependency.</t>
  </si>
  <si>
    <t>GIVEN an approved action WHEN executed THEN the emulator records the write and the audit trail is complete.</t>
  </si>
  <si>
    <t>Adapter completes export and survives an injected 429</t>
  </si>
  <si>
    <t>1,2,7</t>
  </si>
  <si>
    <t>W1-SRC-05</t>
  </si>
  <si>
    <t>F-116</t>
  </si>
  <si>
    <t>Workday emulator API</t>
  </si>
  <si>
    <t>Report-as-a-service style extract endpoints serving both column-name variants.</t>
  </si>
  <si>
    <t>As a data engineer I want the drift fixture served over an API so that reconciliation is tested end to end.</t>
  </si>
  <si>
    <t>GIVEN both variants WHEN ingested THEN canonical Worker rows are identical.</t>
  </si>
  <si>
    <t>Both variants served and reconciled</t>
  </si>
  <si>
    <t>W1-SRC-06</t>
  </si>
  <si>
    <t>F-117</t>
  </si>
  <si>
    <t>Salesforce &amp; Jira emulator APIs</t>
  </si>
  <si>
    <t>SOQL-ish query with nextRecordsUrl paging and a daily call ceiling that actually depletes. Jira REST search with startAt/maxResults, changelog expansion and issue links.</t>
  </si>
  <si>
    <t>As an engineer I want vendor-correct paging and quota behaviour so that the adapter is not quietly written against an easier world.</t>
  </si>
  <si>
    <t>GIVEN the Salesforce daily ceiling WHEN exceeded THEN the real error is returned and the adapter handles it.</t>
  </si>
  <si>
    <t>sources/salesforce, sources/jira</t>
  </si>
  <si>
    <t>Both serve paginated results with real quota behaviour</t>
  </si>
  <si>
    <t>W2-SRC-01</t>
  </si>
  <si>
    <t>F-118</t>
  </si>
  <si>
    <t>Entra &amp; Slack emulator APIs</t>
  </si>
  <si>
    <t>Graph-style $select / $filter / @odata.nextLink paging. Slack conversations.history and conversations.replies with cursor paging and thread semantics.</t>
  </si>
  <si>
    <t>As an engineer I want Graph and Slack paging reproduced so that the adapters are portable to the real services.</t>
  </si>
  <si>
    <t>GIVEN either API WHEN paged through THEN paging semantics match the vendor's documented behaviour.</t>
  </si>
  <si>
    <t>sources/entra, sources/slack</t>
  </si>
  <si>
    <t>Vendor-correct paging on both</t>
  </si>
  <si>
    <t>3,5</t>
  </si>
  <si>
    <t>W2-SRC-02</t>
  </si>
  <si>
    <t>F-119</t>
  </si>
  <si>
    <t>Five read-context adapters</t>
  </si>
  <si>
    <t>Salesforce, Workday, Jira, Entra and Slack adapters implementing MetadataReader and DataReader against the same contract as Zendesk. ActionExecutor raises NotImplementedError by design.</t>
  </si>
  <si>
    <t>As an architect I want six implementations of one contract so that adding a seventh system is a day of work, not a redesign.</t>
  </si>
  <si>
    <t>GIVEN all six adapters WHEN CI runs THEN none imports another adapter or a source schema directly.</t>
  </si>
  <si>
    <t>adapters/*</t>
  </si>
  <si>
    <t>F-117, F-118</t>
  </si>
  <si>
    <t>All five ingest into canonical</t>
  </si>
  <si>
    <t>1,3,4,5</t>
  </si>
  <si>
    <t>W2-ING-06</t>
  </si>
  <si>
    <t>F-120</t>
  </si>
  <si>
    <t>Six-system reconciliation</t>
  </si>
  <si>
    <t>After every ingestion run: row counts per object, field-level checksums on a sample, cross-system referential integrity. Fails the build on any gap.</t>
  </si>
  <si>
    <t>As a programme lead I want proof that nothing was dropped in translation so that the digital-twin claim survives scrutiny.</t>
  </si>
  <si>
    <t>GIVEN an ingestion run WHEN reconciled THEN completeness is 100% from all six systems.</t>
  </si>
  <si>
    <t>canonical/reconcile</t>
  </si>
  <si>
    <t>100% completeness, all six systems</t>
  </si>
  <si>
    <t>W2-ING-07</t>
  </si>
  <si>
    <t>F-121</t>
  </si>
  <si>
    <t>Emulated-vs-live labelling</t>
  </si>
  <si>
    <t>Every source is labelled 'emulated' on the connections screen, in the datasheet and in every deck. is_synthetic is on every row at every layer.</t>
  </si>
  <si>
    <t>As a governance reviewer I want it impossible to mistake an emulator for a live integration so that nobody oversells this internally or externally.</t>
  </si>
  <si>
    <t>GIVEN the connections view WHEN shown to someone unfamiliar THEN they correctly identify the systems as emulated without being told.</t>
  </si>
  <si>
    <t>console/connections</t>
  </si>
  <si>
    <t>Zero ambiguity in user testing</t>
  </si>
  <si>
    <t>W4-CON-05</t>
  </si>
  <si>
    <t>F-122</t>
  </si>
  <si>
    <t>Connections view</t>
  </si>
  <si>
    <t>The six systems with connection state, last sync, object counts and ingestion completeness — scene 1's opening shot.</t>
  </si>
  <si>
    <t>As a prospect I want to see what the system is connected to so that the scale claim is grounded.</t>
  </si>
  <si>
    <t>GIVEN the view WHEN loaded THEN all six systems show live counts and completeness from the last run.</t>
  </si>
  <si>
    <t>Live counts, not screenshots</t>
  </si>
  <si>
    <t>F-123</t>
  </si>
  <si>
    <t>Analyst profile &amp; org structure</t>
  </si>
  <si>
    <t>240 analysts with supervisory org and manager chain, level (L1/L2/L3/SME), tenure, employment type including BPO, location, languages and stated working hours.</t>
  </si>
  <si>
    <t>As a team lead I want a credible support organisation modelled so that routing decisions are made in a realistic structure.</t>
  </si>
  <si>
    <t>GIVEN the roster WHEN inspected THEN every analyst has a valid manager chain to depth 4 and a plausible level distribution.</t>
  </si>
  <si>
    <t>analysts/profile</t>
  </si>
  <si>
    <t>240 analysts, valid hierarchy</t>
  </si>
  <si>
    <t>1,6</t>
  </si>
  <si>
    <t>W1-SYN-08</t>
  </si>
  <si>
    <t>F-124</t>
  </si>
  <si>
    <t>Skills with proficiency and provenance</t>
  </si>
  <si>
    <t>Named skills at proficiency 1–5, certification dates, and the source of each claim — self-declared, manager-assessed or certified. Deliberate scarcity in scarce skills.</t>
  </si>
  <si>
    <t>As an assignment engine I want to know how a skill was established so that a certified claim can outweigh a self-declared one.</t>
  </si>
  <si>
    <t>GIVEN any skill record WHEN read THEN it carries proficiency, source and, where relevant, a certification date.</t>
  </si>
  <si>
    <t>analysts/skills</t>
  </si>
  <si>
    <t>Skill distribution shows deliberate scarcity</t>
  </si>
  <si>
    <t>F-125</t>
  </si>
  <si>
    <t>Handling history derived from the corpus</t>
  </si>
  <si>
    <t>Per analyst per problem class: tickets handled, first and last handled, average handle time, reopen rate, escalation rate, CSAT and QA score — derived from the tickets, never asserted independently.</t>
  </si>
  <si>
    <t>As a sceptical reviewer I want every statistic reproducible from the ticket table so that nothing on screen is decoration.</t>
  </si>
  <si>
    <t>GIVEN any analyst statistic WHEN challenged THEN it is reproducible by a query over case_ — verified on 20 sampled analysts.</t>
  </si>
  <si>
    <t>analysts/history</t>
  </si>
  <si>
    <t>20/20 sampled analysts reproduce exactly</t>
  </si>
  <si>
    <t>6,8</t>
  </si>
  <si>
    <t>W3-ANL-01</t>
  </si>
  <si>
    <t>F-126</t>
  </si>
  <si>
    <t>Capability signal engine</t>
  </si>
  <si>
    <t>Strengths (≥8 tickets, beats team median), development areas (≥5 tickets, below median) and skill gaps (claimed proficiency 4–5 with no supporting history). Every signal carries sample size, confidence and backing case IDs.</t>
  </si>
  <si>
    <t>As a support director I want to know where my team's real gaps are so that coaching follows evidence rather than impression.</t>
  </si>
  <si>
    <t>GIVEN fewer than the sample threshold WHEN evaluated THEN no signal is emitted at all.</t>
  </si>
  <si>
    <t>analysts/capability</t>
  </si>
  <si>
    <t>No signal below threshold; all evidence shown</t>
  </si>
  <si>
    <t>W3-ANL-02</t>
  </si>
  <si>
    <t>Evidence-based assignment scoring</t>
  </si>
  <si>
    <t>Deterministic weighted score — class experience 0.30, outcome quality 0.25, skill match 0.20, efficiency 0.10, load and availability 0.10, level appropriateness 0.05. Fully explainable. Employment type never scored.</t>
  </si>
  <si>
    <t>As a team lead I want to see why an analyst was recommended so that I can disagree intelligently rather than just accept.</t>
  </si>
  <si>
    <t>GIVEN a shortlist WHEN displayed THEN each entry shows component scores and the case IDs behind every claim; acceptance ≥80% vs labelled correct queue.</t>
  </si>
  <si>
    <t>analysts/scoring</t>
  </si>
  <si>
    <t>Acceptance ≥80% with evidence</t>
  </si>
  <si>
    <t>W3-ANL-03</t>
  </si>
  <si>
    <t>F-128</t>
  </si>
  <si>
    <t>Analyst recommendation panel</t>
  </si>
  <si>
    <t>Ranked shortlist with component scores and measured history, every number click-through to the tickets that produced it. Stretch assignments labelled as such with their development rationale.</t>
  </si>
  <si>
    <t>As a reviewer I want to click a number and land on the tickets behind it so that the recommendation is verifiable rather than asserted.</t>
  </si>
  <si>
    <t>GIVEN any number in the recommendation WHEN clicked THEN the underlying tickets open.</t>
  </si>
  <si>
    <t>console/assignment</t>
  </si>
  <si>
    <t>Every claim click-through works</t>
  </si>
  <si>
    <t>W3-CON-06</t>
  </si>
  <si>
    <t>F-129</t>
  </si>
  <si>
    <t>Analyst development areas in the digest</t>
  </si>
  <si>
    <t>Team capability map, individuals with development areas, and skills claimed without supporting history — anonymised by employment type.</t>
  </si>
  <si>
    <t>As a support director I want a development view a skills survey cannot produce so that I invest coaching where it will pay.</t>
  </si>
  <si>
    <t>GIVEN a week of data WHEN generated THEN the section names specific, evidence-backed development areas.</t>
  </si>
  <si>
    <t>W4-ANL-01</t>
  </si>
  <si>
    <t>F-130</t>
  </si>
  <si>
    <t>Workforce-management boundary guard</t>
  </si>
  <si>
    <t>analyst_load records current open count and working-hours availability only. No shift planning, rostering, forecasting, absence management or round-robin exists in the codebase.</t>
  </si>
  <si>
    <t>As a product owner I want the 21-Jul exclusion enforced structurally so that scope cannot drift into workforce management by accident.</t>
  </si>
  <si>
    <t>GIVEN the codebase WHEN audited THEN no scheduling, rostering or forecasting capability exists.</t>
  </si>
  <si>
    <t>analysts/load</t>
  </si>
  <si>
    <t>0 WFM capabilities present</t>
  </si>
  <si>
    <t>F-131</t>
  </si>
  <si>
    <t>Spoken dialogue generation</t>
  </si>
  <si>
    <t>A voice prompt variant producing turn-taking dialogue with an IVR opening, verification questions, interruptions, hold gaps and false starts — not narrated prose.</t>
  </si>
  <si>
    <t>As a demo audience I want the call to sound like a call so that the voice channel is the most convincing thing on screen rather than the least.</t>
  </si>
  <si>
    <t>GIVEN a generated script WHEN read aloud THEN it contains disfluencies, interruptions and at least one clarification exchange.</t>
  </si>
  <si>
    <t>gen/voice</t>
  </si>
  <si>
    <t>Pilot 20 scripts pass human review</t>
  </si>
  <si>
    <t>W2-VOI-01</t>
  </si>
  <si>
    <t>F-132</t>
  </si>
  <si>
    <t>TTS synthesis and audio storage</t>
  </si>
  <si>
    <t>Local open-weight text-to-speech with distinct voices per speaker; .wav files written to MinIO with full provenance.</t>
  </si>
  <si>
    <t>As a presenter I want real audio to play so that the scene has something to listen to rather than something to read.</t>
  </si>
  <si>
    <t>GIVEN a generated call WHEN played THEN speakers are distinguishable and pacing is plausible.</t>
  </si>
  <si>
    <t>20 pilot calls listened to and accepted</t>
  </si>
  <si>
    <t>F-133</t>
  </si>
  <si>
    <t>Real ASR transcription with confidence</t>
  </si>
  <si>
    <t>Local Whisper-class transcription producing transcripts with word timings and per-word confidence — genuine ASR artefacts, not simulated ones.</t>
  </si>
  <si>
    <t>As an architect I want the system to work from an imperfect transcript so that we demonstrate honesty about uncertainty rather than a tidy fiction.</t>
  </si>
  <si>
    <t>GIVEN 200 calls WHEN transcribed THEN word error rate is measured and reported, and low-confidence terms are flagged.</t>
  </si>
  <si>
    <t>200 calls transcribed; WER reported</t>
  </si>
  <si>
    <t>W2-VOI-02</t>
  </si>
  <si>
    <t>F-134</t>
  </si>
  <si>
    <t>Voice transcript normalisation</t>
  </si>
  <si>
    <t>Transcript, timings and confidence normalised into a canonical Comment with channel=voice, audio_uri, asr_confidence and asr_segments.</t>
  </si>
  <si>
    <t>As a downstream agent I want voice to arrive as an ordinary canonical comment so that no agent needs to know a channel is special.</t>
  </si>
  <si>
    <t>GIVEN a voice ticket WHEN read by any agent THEN it needs no channel-specific handling to reason about it.</t>
  </si>
  <si>
    <t>Agents handle voice with zero special-casing</t>
  </si>
  <si>
    <t>2,4</t>
  </si>
  <si>
    <t>F-135</t>
  </si>
  <si>
    <t>Call player with synced transcript</t>
  </si>
  <si>
    <t>Audio playback with the transcript scrolling in sync; low-confidence words visibly marked; jump-to-timestamp from any line.</t>
  </si>
  <si>
    <t>As a demo audience I want to see the transcription being imperfect and the system noticing so that trust is earned rather than claimed.</t>
  </si>
  <si>
    <t>GIVEN the seeded mishear WHEN the scene plays THEN it is visible without the presenter pointing it out.</t>
  </si>
  <si>
    <t>console/call</t>
  </si>
  <si>
    <t>Audio and transcript stay in sync</t>
  </si>
  <si>
    <t>W3-CON-07</t>
  </si>
  <si>
    <t>F-136</t>
  </si>
  <si>
    <t>Voice-path evaluation</t>
  </si>
  <si>
    <t>Triage macro-F1 measured on voice transcripts separately from text, plus ASR word error rate. Reported separately rather than folded into the headline number.</t>
  </si>
  <si>
    <t>As an architect I want the harder channel measured honestly so that our numbers survive a technical audience.</t>
  </si>
  <si>
    <t>GIVEN the voice split WHEN evaluated THEN macro-F1 ≥0.70 is reported separately alongside the text figure.</t>
  </si>
  <si>
    <t>evals/voice</t>
  </si>
  <si>
    <t>Voice F1 ≥0.70, reported separately</t>
  </si>
  <si>
    <t>W4-EVL-10</t>
  </si>
  <si>
    <t>F-137</t>
  </si>
  <si>
    <t>Audio and transcript PII handling</t>
  </si>
  <si>
    <t>Transcripts are redacted before any LLM call exactly like text. Audio is served only via short-lived signed URLs, never sent to a model, and excluded from every index.</t>
  </si>
  <si>
    <t>As a data protection officer I want call recordings treated as personal data even when synthetic so that the habit is correct before real data arrives.</t>
  </si>
  <si>
    <t>GIVEN the audit WHEN run THEN no audio object was sent to a model and every access used a signed URL.</t>
  </si>
  <si>
    <t>0 audio objects sent to a model</t>
  </si>
  <si>
    <t>Epics</t>
  </si>
  <si>
    <t>Each epic traces back to a recorded decision. Nothing here is invented for the sake of a plan.</t>
  </si>
  <si>
    <t>What it delivers</t>
  </si>
  <si>
    <t>Accountable</t>
  </si>
  <si>
    <t>Traces back to</t>
  </si>
  <si>
    <t>Open-source stack that runs from one command and could redeploy into a client VPC unchanged.</t>
  </si>
  <si>
    <t>21-Jul: single-tenant, customer-hosted</t>
  </si>
  <si>
    <t>A credible support world — 6,000 tickets, 500 deep multi-channel threads, ground-truth labelled.</t>
  </si>
  <si>
    <t>23-Jul: contextual richness over volume</t>
  </si>
  <si>
    <t>Vendor-agnostic canonical entities. Agents never see a vendor payload.</t>
  </si>
  <si>
    <t>21-Jul &amp; 29-Jul: canonical digital twin</t>
  </si>
  <si>
    <t>Six emulated systems with faithful replica schemas and mock APIs; six adapters against one contract; reconciliation.</t>
  </si>
  <si>
    <t>17-Jul &amp; 21-Jul: Zendesk beachhead, vendor-agnostic core — now demonstrable</t>
  </si>
  <si>
    <t>Resolve a requester across Zendesk, Workday, Entra and Salesforce, with evidence.</t>
  </si>
  <si>
    <t>21-Jul: Customer/User 360 in the agentic brain</t>
  </si>
  <si>
    <t>Four stores plus hybrid retrieval, compiled into a cited, PII-filtered context pack. The moat.</t>
  </si>
  <si>
    <t>29-Jul: Neo4j + Postgres + vector + Redis</t>
  </si>
  <si>
    <t>Listen, enrich, classify, deduplicate.</t>
  </si>
  <si>
    <t>22-Jul: hybrid orchestration of targeted agents</t>
  </si>
  <si>
    <t>SLA-aware prioritisation and evidence-based assignment driven by the analyst capability engine.</t>
  </si>
  <si>
    <t>21-Jul: no workforce management</t>
  </si>
  <si>
    <t>Cited draft resolutions and structured escalation. Recommendation only.</t>
  </si>
  <si>
    <t>29-Jul: classify + intention, not action</t>
  </si>
  <si>
    <t>KB curation and weekly pattern intelligence — the compounding loop.</t>
  </si>
  <si>
    <t>21-Jul: AI-assisted documentation; KB curation</t>
  </si>
  <si>
    <t>Approval queue, ticket 360, citations, explainers, audit viewer, digest.</t>
  </si>
  <si>
    <t>23-Jul: admin/monitoring UI only, no end-user UI</t>
  </si>
  <si>
    <t>PII redaction, RBAC, immutable decision audit, tenant isolation.</t>
  </si>
  <si>
    <t>21-Jul: explainability and audit from day one</t>
  </si>
  <si>
    <t>Ground-truth evaluation, corpus gates, adversarial testing, calibration.</t>
  </si>
  <si>
    <t>23-Jul: answering the synthetic-data objection</t>
  </si>
  <si>
    <t>Everything that makes the demo survive contact with an audience.</t>
  </si>
  <si>
    <t>29-Jul: demo swim lane decoupled from MVP</t>
  </si>
  <si>
    <t>Analyst org, skills, measured handling history, derived strengths and development areas — feeding assignment and the weekly digest.</t>
  </si>
  <si>
    <t>v2 client direction; 21-Jul WFM exclusion respected</t>
  </si>
  <si>
    <t>Spoken dialogue generated, synthesised to audio, transcribed by a real ASR engine, with confidence carried through the pipeline.</t>
  </si>
  <si>
    <t>v2 client direction — validates and upgrades the narration-to-audio assumption</t>
  </si>
  <si>
    <t>Agent Pipeline Specification</t>
  </si>
  <si>
    <t>12 agents, 4 stages, LangGraph-orchestrated with Temporal durability. Eleven are built in full this sprint; QA/Verifier is scoped to sampled runs only.</t>
  </si>
  <si>
    <t>#</t>
  </si>
  <si>
    <t>Agent</t>
  </si>
  <si>
    <t>Stage</t>
  </si>
  <si>
    <t>Input</t>
  </si>
  <si>
    <t>Output</t>
  </si>
  <si>
    <t>Model tier</t>
  </si>
  <si>
    <t>Guardrail</t>
  </si>
  <si>
    <t>HITL gate</t>
  </si>
  <si>
    <t>Evaluation metric</t>
  </si>
  <si>
    <t>POC?</t>
  </si>
  <si>
    <t>Listener</t>
  </si>
  <si>
    <t>A · Ingest &amp; Understand</t>
  </si>
  <si>
    <t>Webhook event or export page</t>
  </si>
  <si>
    <t>Canonical records, idempotent on external_id</t>
  </si>
  <si>
    <t>None (deterministic)</t>
  </si>
  <si>
    <t>No LLM in the hot path; dedup on external_id + generated_ts; resumable via Temporal</t>
  </si>
  <si>
    <t>Ingestion completeness vs source count; zero drops under burst</t>
  </si>
  <si>
    <t>Yes</t>
  </si>
  <si>
    <t>Context Enricher</t>
  </si>
  <si>
    <t>Case + tenant graph + vector index + Workday bridge</t>
  </si>
  <si>
    <t>Typed, cited, PII-filtered context pack</t>
  </si>
  <si>
    <t>Sonnet</t>
  </si>
  <si>
    <t>Retrieval score threshold; raises low-context flag rather than proceeding</t>
  </si>
  <si>
    <t>Citation coverage; retrieval precision@k</t>
  </si>
  <si>
    <t>Triage / Classifier</t>
  </si>
  <si>
    <t>Case text + context pack</t>
  </si>
  <si>
    <t>intent, category, priority, sentiment, language, confidence</t>
  </si>
  <si>
    <t>Haiku (→Sonnet on low confidence)</t>
  </si>
  <si>
    <t>Below threshold means 'needs human triage', never a guess; consumes Zendesk AI fields as prior; prompt-injection guard</t>
  </si>
  <si>
    <t>Macro-F1 vs ground truth; agreement with Zendesk AI</t>
  </si>
  <si>
    <t>Dedup &amp; Linker</t>
  </si>
  <si>
    <t>Case embedding + fingerprint + open-ticket index</t>
  </si>
  <si>
    <t>Merge or link proposals with similarity score</t>
  </si>
  <si>
    <t>Haiku</t>
  </si>
  <si>
    <t>Never auto-merges. High score suggests a merge for human confirmation; mid score links only</t>
  </si>
  <si>
    <t>Precision and recall on labelled pairs</t>
  </si>
  <si>
    <t>Prioritisation</t>
  </si>
  <si>
    <t>B · Route &amp; Prioritise</t>
  </si>
  <si>
    <t>Case + SLAClock events + account tier</t>
  </si>
  <si>
    <t>Priority score, breach-risk flag, reason</t>
  </si>
  <si>
    <t>Sonnet (explanation only)</t>
  </si>
  <si>
    <t>SLA maths is deterministic; the LLM writes prose and can never change the number</t>
  </si>
  <si>
    <t>Breach-risk lead time; prediction precision</t>
  </si>
  <si>
    <t>Assignment / Load-Balancer</t>
  </si>
  <si>
    <t>Intent + agent skills + capacity + schedule</t>
  </si>
  <si>
    <t>Assignment proposal, ranked alternatives, rationale</t>
  </si>
  <si>
    <t>Shadow mode first; reads existing triggers to avoid conflicting with customer automation</t>
  </si>
  <si>
    <t>Routing gate</t>
  </si>
  <si>
    <t>Acceptance rate; reassignment rate; load variance</t>
  </si>
  <si>
    <t>Resolution</t>
  </si>
  <si>
    <t>C · Resolve</t>
  </si>
  <si>
    <t>Context pack + ResolutionRecord retrieval + KB + runbooks</t>
  </si>
  <si>
    <t>Cited draft action(s) with confidence</t>
  </si>
  <si>
    <t>Sonnet (→Opus on hard cases)</t>
  </si>
  <si>
    <t>Grounded strictly in retrieved evidence; injection-resistant; no uncited claim may be rendered</t>
  </si>
  <si>
    <t>Every write</t>
  </si>
  <si>
    <t>Approval acceptance rate; edit distance; CSAT proxy</t>
  </si>
  <si>
    <t>Escalation</t>
  </si>
  <si>
    <t>Case + failed-match signal</t>
  </si>
  <si>
    <t>Structured escalation summary + suggested owner</t>
  </si>
  <si>
    <t>Guarantees every ticket has a path — a draft or an escalation, never neither</t>
  </si>
  <si>
    <t>Escalation appropriateness; time to owner</t>
  </si>
  <si>
    <t>Action Executor</t>
  </si>
  <si>
    <t>Approved action + human decision record</t>
  </si>
  <si>
    <t>External write + audit entry + ResolutionRecord</t>
  </si>
  <si>
    <t>Runs only after approval; retries with backoff on 429; no ungated code path exists</t>
  </si>
  <si>
    <t>Post-approval only</t>
  </si>
  <si>
    <t>Write success rate; audit completeness</t>
  </si>
  <si>
    <t>KB Curator</t>
  </si>
  <si>
    <t>D · Learn</t>
  </si>
  <si>
    <t>ResolutionRecord + existing KB</t>
  </si>
  <si>
    <t>Draft article or update proposal</t>
  </si>
  <si>
    <t>Drafts only; publication requires human approval; dedupe threshold against existing articles</t>
  </si>
  <si>
    <t>Publish gate</t>
  </si>
  <si>
    <t>Article acceptance rate; KB coverage growth</t>
  </si>
  <si>
    <t>QA / Verifier</t>
  </si>
  <si>
    <t>Sampled agent runs + traces</t>
  </si>
  <si>
    <t>Quality score, flagged runs, calibration report</t>
  </si>
  <si>
    <t>Opus (sampled)</t>
  </si>
  <si>
    <t>Samples a percentage of runs plus all low-confidence ones</t>
  </si>
  <si>
    <t>Hallucination rate; confidence calibration; injection catch rate</t>
  </si>
  <si>
    <t>Partial</t>
  </si>
  <si>
    <t>Pattern Miner</t>
  </si>
  <si>
    <t>CaseEvent history + categories + derivations</t>
  </si>
  <si>
    <t>Weekly digest: patterns, deflection candidates, KB gaps</t>
  </si>
  <si>
    <t>Sonnet (batch)</t>
  </si>
  <si>
    <t>Batch and offline; advisory only, never acts</t>
  </si>
  <si>
    <t>Pattern precision; analyst-rated usefulness</t>
  </si>
  <si>
    <t>Model tiering: Haiku for high-volume classification · Sonnet for orchestration and drafting · Opus reserved for hard reasoning and sampled QA. All calls run through one reasoning-service abstraction and are PII-redacted before leaving the boundary.</t>
  </si>
  <si>
    <t>Canonical Data Entities</t>
  </si>
  <si>
    <t>Vendor-agnostic core. Zendesk field names shown for mapping only — no agent ever reads a vendor payload.</t>
  </si>
  <si>
    <t>Entity</t>
  </si>
  <si>
    <t>Group</t>
  </si>
  <si>
    <t>Purpose</t>
  </si>
  <si>
    <t>Key fields</t>
  </si>
  <si>
    <t>Zendesk source mapping</t>
  </si>
  <si>
    <t>POC volume</t>
  </si>
  <si>
    <t>Case</t>
  </si>
  <si>
    <t>Core ticketing</t>
  </si>
  <si>
    <t>The ticket. Canonical, never vendor-shaped.</t>
  </si>
  <si>
    <t>id, external_id, status_category, priority, type, channel_id, requester_id, assignee_id, team_id, account_id, intent_id, sla_policy_id, tags[], custom_fields{}, generated_ts</t>
  </si>
  <si>
    <t>ticket.* — status, priority, via.channel, group_id, organization_id, ticket_form_id</t>
  </si>
  <si>
    <t>6,000</t>
  </si>
  <si>
    <t>CaseEvent</t>
  </si>
  <si>
    <t>One row per change — makes history replayable and audit real.</t>
  </si>
  <si>
    <t>case_id, actor_id, event_type, field_name, from_value, to_value, occurred_at</t>
  </si>
  <si>
    <t>Ticket Audits / Incremental ticket_events export</t>
  </si>
  <si>
    <t>~48,000</t>
  </si>
  <si>
    <t>Comment</t>
  </si>
  <si>
    <t>Public replies and internal notes. Immutable.</t>
  </si>
  <si>
    <t>case_id, author_id, public, body, html, via, created_at</t>
  </si>
  <si>
    <t>ticket comments (public / internal note)</t>
  </si>
  <si>
    <t>~30,000</t>
  </si>
  <si>
    <t>Attachment</t>
  </si>
  <si>
    <t>Evidence — logs, CSVs, invoices, screenshots.</t>
  </si>
  <si>
    <t>comment_id, file_name, content_type, size, url, inline, malware_scan_result</t>
  </si>
  <si>
    <t>comment attachments</t>
  </si>
  <si>
    <t>~4,000</t>
  </si>
  <si>
    <t>SatisfactionRating</t>
  </si>
  <si>
    <t>CSAT, feeding ResolutionRecord quality signals.</t>
  </si>
  <si>
    <t>case_id, score, comment, reason_code, requester_id, assignee_id</t>
  </si>
  <si>
    <t>satisfaction_ratings</t>
  </si>
  <si>
    <t>~2,400</t>
  </si>
  <si>
    <t>Actor</t>
  </si>
  <si>
    <t>People &amp; org</t>
  </si>
  <si>
    <t>Any human — end user, agent or admin.</t>
  </si>
  <si>
    <t>external_id, role, name, email, locale, time_zone, account_id, default_team_id, worker_id, skills[], capacity</t>
  </si>
  <si>
    <t>users.*</t>
  </si>
  <si>
    <t>~5,040</t>
  </si>
  <si>
    <t>Team</t>
  </si>
  <si>
    <t>Queue or group.</t>
  </si>
  <si>
    <t>id, name, description, is_public, default</t>
  </si>
  <si>
    <t>groups</t>
  </si>
  <si>
    <t>~40</t>
  </si>
  <si>
    <t>TeamMembership</t>
  </si>
  <si>
    <t>Agent-to-team many-to-many with one default each.</t>
  </si>
  <si>
    <t>actor_id, team_id, default</t>
  </si>
  <si>
    <t>group_memberships</t>
  </si>
  <si>
    <t>~400</t>
  </si>
  <si>
    <t>Account</t>
  </si>
  <si>
    <t>Customer organisation with tier and domains.</t>
  </si>
  <si>
    <t>external_id, name, domain_names[], default_team_id, cost_center_id, tags[]</t>
  </si>
  <si>
    <t>organizations</t>
  </si>
  <si>
    <t>1,200</t>
  </si>
  <si>
    <t>Channel</t>
  </si>
  <si>
    <t>Config &amp; rules</t>
  </si>
  <si>
    <t>Where the interaction happened. 12 channels modelled.</t>
  </si>
  <si>
    <t>id, type, source_ref</t>
  </si>
  <si>
    <t>ticket.via.channel</t>
  </si>
  <si>
    <t>12</t>
  </si>
  <si>
    <t>Category / Intent</t>
  </si>
  <si>
    <t>The taxonomy: 10 L1 categories, 100 problem classes.</t>
  </si>
  <si>
    <t>id, name, parent_id, taxonomy, intent_confidence, sentiment, language</t>
  </si>
  <si>
    <t>triage intent field / custom taxonomy</t>
  </si>
  <si>
    <t>110</t>
  </si>
  <si>
    <t>AutomationRule</t>
  </si>
  <si>
    <t>Existing customer automation, read so we never conflict with it.</t>
  </si>
  <si>
    <t>kind, conditions{all,any}, actions[], position, active</t>
  </si>
  <si>
    <t>triggers, automations, macros, views</t>
  </si>
  <si>
    <t>~120</t>
  </si>
  <si>
    <t>SLAPolicy</t>
  </si>
  <si>
    <t>Targets by metric and business hours.</t>
  </si>
  <si>
    <t>title, position, filter{}, policy_metrics[], schedule_id</t>
  </si>
  <si>
    <t>sla_policies</t>
  </si>
  <si>
    <t>~8</t>
  </si>
  <si>
    <t>SLAClock</t>
  </si>
  <si>
    <t>apply / pause / breach / fulfil events — the source of truth for risk.</t>
  </si>
  <si>
    <t>case_id, metric, type, deadline, occurred_at</t>
  </si>
  <si>
    <t>ticket_metric_events</t>
  </si>
  <si>
    <t>~24,000</t>
  </si>
  <si>
    <t>Schedule</t>
  </si>
  <si>
    <t>Business hours and holidays per region.</t>
  </si>
  <si>
    <t>name, time_zone, intervals[], holidays[]</t>
  </si>
  <si>
    <t>schedules</t>
  </si>
  <si>
    <t>~4</t>
  </si>
  <si>
    <t>KnowledgeArticle</t>
  </si>
  <si>
    <t>Knowledge</t>
  </si>
  <si>
    <t>The KB, including deliberate coverage gaps.</t>
  </si>
  <si>
    <t>title, body_html, section, author_id, draft, promoted, labels[], vote_sum, outdated</t>
  </si>
  <si>
    <t>Help Center articles</t>
  </si>
  <si>
    <t>900</t>
  </si>
  <si>
    <t>ResolutionRecord</t>
  </si>
  <si>
    <t>The retrieval and learning corpus — what actually worked.</t>
  </si>
  <si>
    <t>issue_signature (vector), case_id, category_id, actions_taken[], kb_article_id, outcome, csat, confidence</t>
  </si>
  <si>
    <t>derived on close</t>
  </si>
  <si>
    <t>Worker</t>
  </si>
  <si>
    <t>Workday bridge</t>
  </si>
  <si>
    <t>Employee record — read-only, no write-back path exists.</t>
  </si>
  <si>
    <t>worker_id, legal_name, supervisor_id, org_unit_id, cost_center_id, job_profile_id, grade, skills[], certifications[], location</t>
  </si>
  <si>
    <t>Workday extract (Dr_Pepper, 200 employees)</t>
  </si>
  <si>
    <t>200</t>
  </si>
  <si>
    <t>OrgUnit</t>
  </si>
  <si>
    <t>Department hierarchy.</t>
  </si>
  <si>
    <t>org_unit_id, name, parent_id</t>
  </si>
  <si>
    <t>Workday extract</t>
  </si>
  <si>
    <t>~15</t>
  </si>
  <si>
    <t>CostCenter</t>
  </si>
  <si>
    <t>Cost allocation and legal entity.</t>
  </si>
  <si>
    <t>cost_center_id, name, legal_entity</t>
  </si>
  <si>
    <t>~12</t>
  </si>
  <si>
    <t>JobProfile</t>
  </si>
  <si>
    <t>Role, grade band and skill profile.</t>
  </si>
  <si>
    <t>job_profile_id, title, grade_band, skill_profile[]</t>
  </si>
  <si>
    <t>~20</t>
  </si>
  <si>
    <t>Asset</t>
  </si>
  <si>
    <t>ES extension</t>
  </si>
  <si>
    <t>Hardware and licences, linked to workers.</t>
  </si>
  <si>
    <t>external_id, name, asset_tag, assigned_worker_id, type, status, cost_center_id</t>
  </si>
  <si>
    <t>Zendesk custom objects</t>
  </si>
  <si>
    <t>ServiceCatalogItem</t>
  </si>
  <si>
    <t>Requestable services, optionally requiring approval.</t>
  </si>
  <si>
    <t>name, description, asset_lookup_id, approval_required, form_id</t>
  </si>
  <si>
    <t>~25</t>
  </si>
  <si>
    <t>Approval</t>
  </si>
  <si>
    <t>Approval step that can block closure.</t>
  </si>
  <si>
    <t>case_id, approver_id, status, blocks_closure</t>
  </si>
  <si>
    <t>Zendesk approvals</t>
  </si>
  <si>
    <t>as needed</t>
  </si>
  <si>
    <t>case_label</t>
  </si>
  <si>
    <t>Evaluation</t>
  </si>
  <si>
    <t>Ground truth. Physically separate, code-fenced to evals/.</t>
  </si>
  <si>
    <t>true_class, true_root_cause, true_priority, correct_queue, context_sufficient_at</t>
  </si>
  <si>
    <t>generated, never ingested</t>
  </si>
  <si>
    <t>decision_audit</t>
  </si>
  <si>
    <t>Append-only record of every AI recommendation and human decision.</t>
  </si>
  <si>
    <t>case_id, agent, recommendation, evidence[], confidence, model, version, latency_ms, cost, human_decision, outcome, occurred_at</t>
  </si>
  <si>
    <t>internal</t>
  </si>
  <si>
    <t>all actions</t>
  </si>
  <si>
    <t>analyst_profile</t>
  </si>
  <si>
    <t>Analyst intelligence</t>
  </si>
  <si>
    <t>Who the analyst is: org, level, tenure, employment type, availability.</t>
  </si>
  <si>
    <t>actor_id, worker_id, entra_user_id, level (L1|L2|L3|SME), tenure_months, employment_type, manager_actor_id, team_id, location, timezone, languages[], working_hours</t>
  </si>
  <si>
    <t>src_workday.Worker + src_entra.users</t>
  </si>
  <si>
    <t>240</t>
  </si>
  <si>
    <t>analyst_skill</t>
  </si>
  <si>
    <t>What the analyst claims, and on whose authority.</t>
  </si>
  <si>
    <t>actor_id, skill_code, proficiency 1-5, source (self|manager|certified), certified_at</t>
  </si>
  <si>
    <t>src_workday.Worker_Skill</t>
  </si>
  <si>
    <t>~1,400</t>
  </si>
  <si>
    <t>analyst_class_experience</t>
  </si>
  <si>
    <t>DERIVED. What the analyst has actually handled, and how well.</t>
  </si>
  <si>
    <t>actor_id, problem_class, tickets_handled, first_handled, last_handled, avg_handle_time_min, reopen_rate, escalation_rate, csat_avg, qa_score_avg</t>
  </si>
  <si>
    <t>derived from case_ + case_event</t>
  </si>
  <si>
    <t>~4,800</t>
  </si>
  <si>
    <t>analyst_capability_signal</t>
  </si>
  <si>
    <t>DERIVED. Strengths, development areas and skill gaps, each with its evidence.</t>
  </si>
  <si>
    <t>actor_id, signal_type (strength|development|skill_gap), problem_class, metric, value, team_median, sample_size, confidence, evidence[]</t>
  </si>
  <si>
    <t>derived from analyst_class_experience</t>
  </si>
  <si>
    <t>~900</t>
  </si>
  <si>
    <t>analyst_load</t>
  </si>
  <si>
    <t>CURRENT state only. Open count and working-hours availability. Not rostering.</t>
  </si>
  <si>
    <t>actor_id, open_tickets, within_working_hours, observed_at</t>
  </si>
  <si>
    <t>derived, live</t>
  </si>
  <si>
    <t>call_recording</t>
  </si>
  <si>
    <t>Voice</t>
  </si>
  <si>
    <t>The audio artefact and its transcription metadata.</t>
  </si>
  <si>
    <t>case_id, audio_uri, duration_sec, speakers[], tts_model, asr_model, asr_confidence_avg, word_error_rate</t>
  </si>
  <si>
    <t>gen/voice Batch K</t>
  </si>
  <si>
    <t>Integrations, APIs &amp; Constraints</t>
  </si>
  <si>
    <t>The external surface. Rate limits are design constraints, not footnotes.</t>
  </si>
  <si>
    <t>System</t>
  </si>
  <si>
    <t>Capability</t>
  </si>
  <si>
    <t>Endpoints / mechanism</t>
  </si>
  <si>
    <t>Scopes / auth</t>
  </si>
  <si>
    <t>Constraint that shapes design</t>
  </si>
  <si>
    <t>POC use</t>
  </si>
  <si>
    <t>Zendesk</t>
  </si>
  <si>
    <t>Metadata discovery</t>
  </si>
  <si>
    <t>Ticket Fields, Forms, Triggers, Automations, Macros, Views, Custom Objects, Brands</t>
  </si>
  <si>
    <t>read (+triggers, automations, macros)</t>
  </si>
  <si>
    <t>Configuration varies widely per tenant — this is why discovery is dynamic rather than hard-coded</t>
  </si>
  <si>
    <t>Inventory report, ≥98% accuracy</t>
  </si>
  <si>
    <t>Historical backfill</t>
  </si>
  <si>
    <t>Incremental Exports (tickets, users, orgs, ticket_events, metric_events); Search Export; sideloads</t>
  </si>
  <si>
    <t>tickets:read, users:read, organizations:read</t>
  </si>
  <si>
    <t>Incremental exports limited to ~10 per minute — everything must be cursor-based and resumable</t>
  </si>
  <si>
    <t>6,000-ticket backfill via Temporal</t>
  </si>
  <si>
    <t>Near-real-time events</t>
  </si>
  <si>
    <t>Event-subscription webhooks with HMAC signing</t>
  </si>
  <si>
    <t>webhooks:write</t>
  </si>
  <si>
    <t>Comment bodies are not in the payload and must be fetched — a second call per event</t>
  </si>
  <si>
    <t>Live ticket demo path</t>
  </si>
  <si>
    <t>Help Center articles, sections, search</t>
  </si>
  <si>
    <t>hc:read, hc:write</t>
  </si>
  <si>
    <t>Drafts are safe; publication is the gated act</t>
  </si>
  <si>
    <t>900 seeded articles; curator drafts</t>
  </si>
  <si>
    <t>Write-back</t>
  </si>
  <si>
    <t>Ticket update, public and internal comments, macro apply, status change, KB draft, merge</t>
  </si>
  <si>
    <t>tickets:write, hc:write</t>
  </si>
  <si>
    <t>Ticket update capped near 100 per minute — batch and back off</t>
  </si>
  <si>
    <t>Approved actions only, HITL-gated</t>
  </si>
  <si>
    <t>Rate limits (all)</t>
  </si>
  <si>
    <t>Account-wide quota by plan</t>
  </si>
  <si>
    <t>200–700 requests/minute by plan (2,500 with the High Volume add-on) — queue and back off inside Temporal</t>
  </si>
  <si>
    <t>Throttle injection test</t>
  </si>
  <si>
    <t>Zendesk emulator</t>
  </si>
  <si>
    <t>Round-trip proof</t>
  </si>
  <si>
    <t>Our own Zendesk emulator, serving the corpus in native shape</t>
  </si>
  <si>
    <t>OAuth stub or API token</t>
  </si>
  <si>
    <t>No external dependency exists. The emulator can be made to return 429s, 500s and partial pages on demand, which a real sandbox cannot.</t>
  </si>
  <si>
    <t>Write-back target for every approved action</t>
  </si>
  <si>
    <t>Workday</t>
  </si>
  <si>
    <t>Employee enrichment</t>
  </si>
  <si>
    <t>Extract-based bridge for the POC (MCP connector optional later)</t>
  </si>
  <si>
    <t>read-only</t>
  </si>
  <si>
    <t>Dev environments hold structure but no meaningful ticket history — synthetic data remains necessary</t>
  </si>
  <si>
    <t>200-employee Dr_Pepper extract</t>
  </si>
  <si>
    <t>Anthropic</t>
  </si>
  <si>
    <t>Reasoning service</t>
  </si>
  <si>
    <t>Messages API, Haiku / Sonnet / Opus</t>
  </si>
  <si>
    <t>API key, per-tenant metering</t>
  </si>
  <si>
    <t>Cost is the constraint. Haiku-first tiering; hard ceiling in the generation harness</t>
  </si>
  <si>
    <t>Generation + all agents</t>
  </si>
  <si>
    <t>Corpus generation</t>
  </si>
  <si>
    <t>Batched offline generation for Stage B narratives</t>
  </si>
  <si>
    <t>API key</t>
  </si>
  <si>
    <t>Batch overnight; 100-thread pilot before committing full spend</t>
  </si>
  <si>
    <t>500 golden + 1,500 fill threads</t>
  </si>
  <si>
    <t>Kaggle 100k dataset</t>
  </si>
  <si>
    <t>Distribution calibration</t>
  </si>
  <si>
    <t>Offline analysis only</t>
  </si>
  <si>
    <t>Real data sets the targets; synthetic data hits them with labels attached</t>
  </si>
  <si>
    <t>Gate G-14</t>
  </si>
  <si>
    <t>Salesforce / ServiceNow / Jira SM</t>
  </si>
  <si>
    <t>Future adapters</t>
  </si>
  <si>
    <t>Same MetadataReader / DataReader / EventListener / ActionExecutor contract</t>
  </si>
  <si>
    <t>Salesforce caps near 10,000 API calls per day — a real design constraint for Phase 2</t>
  </si>
  <si>
    <t>Contract stub only; NOT built</t>
  </si>
  <si>
    <t>MCP connectors</t>
  </si>
  <si>
    <t>Cross-system context</t>
  </si>
  <si>
    <t>Slack, Teams, docs, HRIS</t>
  </si>
  <si>
    <t>per connector</t>
  </si>
  <si>
    <t>N+M not N×M — added per tenant need, not speculatively</t>
  </si>
  <si>
    <t>Phase 2</t>
  </si>
  <si>
    <t>Non-Functional Requirements</t>
  </si>
  <si>
    <t>Every target has a measurement method and a first-report date. A target without a measurement is an aspiration.</t>
  </si>
  <si>
    <t>Category</t>
  </si>
  <si>
    <t>Requirement</t>
  </si>
  <si>
    <t>Target</t>
  </si>
  <si>
    <t>How it is measured</t>
  </si>
  <si>
    <t>First reported</t>
  </si>
  <si>
    <t>Performance</t>
  </si>
  <si>
    <t>Context pack compilation</t>
  </si>
  <si>
    <t>p95 &lt; 2 s</t>
  </si>
  <si>
    <t>Traced end to end on demo hardware, not a developer laptop</t>
  </si>
  <si>
    <t>D10 (G2)</t>
  </si>
  <si>
    <t>Full pipeline, webhook to approval-pending</t>
  </si>
  <si>
    <t>p95 &lt; 30 s</t>
  </si>
  <si>
    <t>Traced end to end</t>
  </si>
  <si>
    <t>D15 (G3)</t>
  </si>
  <si>
    <t>Warm-cache context fetch</t>
  </si>
  <si>
    <t>p95 &lt; 200 ms</t>
  </si>
  <si>
    <t>Redis instrumentation</t>
  </si>
  <si>
    <t>D11</t>
  </si>
  <si>
    <t>3-hop graph query</t>
  </si>
  <si>
    <t>&lt; 200 ms</t>
  </si>
  <si>
    <t>Neo4j query profiling</t>
  </si>
  <si>
    <t>D05</t>
  </si>
  <si>
    <t>Cold start of the full stack</t>
  </si>
  <si>
    <t>&lt; 3 min</t>
  </si>
  <si>
    <t>Timed docker compose up</t>
  </si>
  <si>
    <t>D05 (G1)</t>
  </si>
  <si>
    <t>Empty machine to demo-ready</t>
  </si>
  <si>
    <t>&lt; 45 min</t>
  </si>
  <si>
    <t>Timed rebuild by a second engineer</t>
  </si>
  <si>
    <t>D19</t>
  </si>
  <si>
    <t>Scalability</t>
  </si>
  <si>
    <t>Corpus size supported</t>
  </si>
  <si>
    <t>6,000 tickets, ~90k chunks</t>
  </si>
  <si>
    <t>Load test at corpus scale</t>
  </si>
  <si>
    <t>D12</t>
  </si>
  <si>
    <t>Reliability</t>
  </si>
  <si>
    <t>Ingestion under interruption</t>
  </si>
  <si>
    <t>0 loss, 0 duplication</t>
  </si>
  <si>
    <t>Kill -9 during backfill; reconcile against manifest</t>
  </si>
  <si>
    <t>D07</t>
  </si>
  <si>
    <t>Ingestion under rate limiting</t>
  </si>
  <si>
    <t>0 loss</t>
  </si>
  <si>
    <t>Sustained 429 injection</t>
  </si>
  <si>
    <t>D13</t>
  </si>
  <si>
    <t>Security</t>
  </si>
  <si>
    <t>PII reaching an LLM</t>
  </si>
  <si>
    <t>0 instances</t>
  </si>
  <si>
    <t>200-ticket trace audit plus adversarial suite</t>
  </si>
  <si>
    <t>D18</t>
  </si>
  <si>
    <t>Successful prompt injections</t>
  </si>
  <si>
    <t>0</t>
  </si>
  <si>
    <t>50-case adversarial suite</t>
  </si>
  <si>
    <t>Cross-tenant reads</t>
  </si>
  <si>
    <t>Cross-tenant probe, logged as a security event</t>
  </si>
  <si>
    <t>D10</t>
  </si>
  <si>
    <t>Ungated write paths</t>
  </si>
  <si>
    <t>Static analysis plus a CI test that attempts an ungated write</t>
  </si>
  <si>
    <t>D15</t>
  </si>
  <si>
    <t>Credentials in repository</t>
  </si>
  <si>
    <t>Secret scanning in CI</t>
  </si>
  <si>
    <t>D02</t>
  </si>
  <si>
    <t>Action auditability</t>
  </si>
  <si>
    <t>100%</t>
  </si>
  <si>
    <t>Automated completeness check across all demo-path actions</t>
  </si>
  <si>
    <t>Uncited claims rendered in the UI</t>
  </si>
  <si>
    <t>Citation coverage check on every rendered claim</t>
  </si>
  <si>
    <t>D14</t>
  </si>
  <si>
    <t>Provenance field population</t>
  </si>
  <si>
    <t>100% of rows</t>
  </si>
  <si>
    <t>Schema constraint plus a validation query</t>
  </si>
  <si>
    <t>D03</t>
  </si>
  <si>
    <t>Human approval on every external write</t>
  </si>
  <si>
    <t>Structural — no bypass path exists; proven by test</t>
  </si>
  <si>
    <t>Pipeline steps traced</t>
  </si>
  <si>
    <t>One trace ID follows a ticket from ingest to console</t>
  </si>
  <si>
    <t>Per-agent cost and latency</t>
  </si>
  <si>
    <t>Reportable</t>
  </si>
  <si>
    <t>Metering in the reasoning service abstraction</t>
  </si>
  <si>
    <t>Triage macro-F1</t>
  </si>
  <si>
    <t>≥ 0.80</t>
  </si>
  <si>
    <t>Held-out account-level split against ground truth</t>
  </si>
  <si>
    <t>Dedup precision / recall</t>
  </si>
  <si>
    <t>≥ 0.85 / ≥ 0.70</t>
  </si>
  <si>
    <t>Labelled pairs</t>
  </si>
  <si>
    <t>Identity match rate</t>
  </si>
  <si>
    <t>≥ 95%</t>
  </si>
  <si>
    <t>Synthetic joins with known answers</t>
  </si>
  <si>
    <t>Citation coverage</t>
  </si>
  <si>
    <t>≥ 90%</t>
  </si>
  <si>
    <t>Context pack inspection</t>
  </si>
  <si>
    <t>Assignment acceptance</t>
  </si>
  <si>
    <t>≥ 80%</t>
  </si>
  <si>
    <t>Against labelled correct-queue ground truth</t>
  </si>
  <si>
    <t>Usable resolution drafts</t>
  </si>
  <si>
    <t>≥ 30% of golden tickets</t>
  </si>
  <si>
    <t>Human review of a sample</t>
  </si>
  <si>
    <t>KB draft acceptance</t>
  </si>
  <si>
    <t>≥ 50% of sampled resolutions</t>
  </si>
  <si>
    <t>Human review</t>
  </si>
  <si>
    <t>D17</t>
  </si>
  <si>
    <t>18 of 18 run</t>
  </si>
  <si>
    <t>Batch gate run with published scorecard</t>
  </si>
  <si>
    <t>Deployment</t>
  </si>
  <si>
    <t>Managed-only dependencies</t>
  </si>
  <si>
    <t>Component inventory review</t>
  </si>
  <si>
    <t>Reproducible build from tag</t>
  </si>
  <si>
    <t>Byte-identical images</t>
  </si>
  <si>
    <t>Rebuild on a clean machine</t>
  </si>
  <si>
    <t>Data integrity</t>
  </si>
  <si>
    <t>Ingestion completeness, all six systems</t>
  </si>
  <si>
    <t>Reconciliation job: row counts, field checksums, referential integrity</t>
  </si>
  <si>
    <t>D08 (G2)</t>
  </si>
  <si>
    <t>Canonical rows with a traceable connector_run_id</t>
  </si>
  <si>
    <t>Automated check — proves nothing bypassed the adapters</t>
  </si>
  <si>
    <t>D06</t>
  </si>
  <si>
    <t>Source systems represented in a demo context pack</t>
  </si>
  <si>
    <t>&gt;= 3</t>
  </si>
  <si>
    <t>systems_in_pack metric per ticket</t>
  </si>
  <si>
    <t>D11 (G3)</t>
  </si>
  <si>
    <t>Fidelity</t>
  </si>
  <si>
    <t>Replica schemas migrating from empty</t>
  </si>
  <si>
    <t>6 of 6</t>
  </si>
  <si>
    <t>alembic upgrade head across all source schemas</t>
  </si>
  <si>
    <t>D03 (G1)</t>
  </si>
  <si>
    <t>Resilience</t>
  </si>
  <si>
    <t>Data loss under emulator chaos mode (429/500/slow/partial)</t>
  </si>
  <si>
    <t>Chaos switch injection during backfill</t>
  </si>
  <si>
    <t>D08</t>
  </si>
  <si>
    <t>Calls fully transcribed by a real ASR engine</t>
  </si>
  <si>
    <t>Batch K completion report</t>
  </si>
  <si>
    <t>Triage macro-F1 on voice transcripts</t>
  </si>
  <si>
    <t>&gt;= 0.70</t>
  </si>
  <si>
    <t>Held-out voice split, reported separately from text</t>
  </si>
  <si>
    <t>ASR word error rate</t>
  </si>
  <si>
    <t>Measured and disclosed, not targeted</t>
  </si>
  <si>
    <t>Against the generated dialogue script as reference</t>
  </si>
  <si>
    <t>Audio objects sent to a model</t>
  </si>
  <si>
    <t>Trace audit; audio served only via short-lived signed URL</t>
  </si>
  <si>
    <t>Analyst</t>
  </si>
  <si>
    <t>Analyst statistics reproducible from case_</t>
  </si>
  <si>
    <t>Query verification on 20 sampled analysts</t>
  </si>
  <si>
    <t>Capability signals emitted below sample threshold</t>
  </si>
  <si>
    <t>Threshold enforcement test (&gt;=8 strength, &gt;=5 development)</t>
  </si>
  <si>
    <t>Assignment claims backed by case IDs</t>
  </si>
  <si>
    <t>Every displayed number click-through to its tickets</t>
  </si>
  <si>
    <t>D14 (G3)</t>
  </si>
  <si>
    <t>Workforce-management capabilities present</t>
  </si>
  <si>
    <t>Codebase audit — no scheduling, rostering or forecasting</t>
  </si>
  <si>
    <t>Ambiguity about emulated vs live in the UI</t>
  </si>
  <si>
    <t>User test: an unfamiliar viewer correctly identifies emulation</t>
  </si>
  <si>
    <t>D16</t>
  </si>
  <si>
    <t>Metrics &amp; KPIs</t>
  </si>
  <si>
    <t>Every number this programme quotes, with its source. If it is not here, do not put it on a slide.</t>
  </si>
  <si>
    <t>Metric</t>
  </si>
  <si>
    <t>Why this target</t>
  </si>
  <si>
    <t>Measurement</t>
  </si>
  <si>
    <t>Model quality</t>
  </si>
  <si>
    <t>Below this, mis-routing persists and the core claim fails</t>
  </si>
  <si>
    <t>Held-out account-level split vs case_label</t>
  </si>
  <si>
    <t>Precision matters more — a false merge destroys trust instantly</t>
  </si>
  <si>
    <t>Labelled near-duplicate pairs</t>
  </si>
  <si>
    <t>Below this the 360 view is unreliable and scene 3 collapses</t>
  </si>
  <si>
    <t>Groundedness</t>
  </si>
  <si>
    <t>An uncited claim is indistinguishable from a hallucination</t>
  </si>
  <si>
    <t>Context pack latency p95</t>
  </si>
  <si>
    <t>&lt; 2 s</t>
  </si>
  <si>
    <t>Above this the demo feels sluggish and the moat feels theoretical</t>
  </si>
  <si>
    <t>Traced on demo hardware</t>
  </si>
  <si>
    <t>Usefulness</t>
  </si>
  <si>
    <t>The threshold at which a team lead stops second-guessing every suggestion</t>
  </si>
  <si>
    <t>vs labelled correct queue</t>
  </si>
  <si>
    <t>Usable draft rate</t>
  </si>
  <si>
    <t>≥ 30%</t>
  </si>
  <si>
    <t>One in three tickets pre-drafted is a material handling-time saving</t>
  </si>
  <si>
    <t>≥ 50%</t>
  </si>
  <si>
    <t>Below half, curation creates review work rather than saving it</t>
  </si>
  <si>
    <t>Pattern detection recall</t>
  </si>
  <si>
    <t>10 of 10 seeded</t>
  </si>
  <si>
    <t>Proves the miner finds patterns rather than being shown them</t>
  </si>
  <si>
    <t>Seeded recurrence patterns</t>
  </si>
  <si>
    <t>Inventory accuracy</t>
  </si>
  <si>
    <t>Connector</t>
  </si>
  <si>
    <t>≥ 98%</t>
  </si>
  <si>
    <t>Automatic discovery is the anti-consulting-project claim</t>
  </si>
  <si>
    <t>vs the configuration the emulator was seeded with</t>
  </si>
  <si>
    <t>PII leaks</t>
  </si>
  <si>
    <t>Not a target so much as a precondition for showing anyone</t>
  </si>
  <si>
    <t>Adversarial suite + trace audit</t>
  </si>
  <si>
    <t>Successful injections</t>
  </si>
  <si>
    <t>Same — a known open injection means no external demo</t>
  </si>
  <si>
    <t>Audit completeness</t>
  </si>
  <si>
    <t>The 21-Jul commitment: auditability from day one</t>
  </si>
  <si>
    <t>Automated completeness check</t>
  </si>
  <si>
    <t>Corpus gates passed</t>
  </si>
  <si>
    <t>Data quality</t>
  </si>
  <si>
    <t>The evidence pack behind the synthetic-data position</t>
  </si>
  <si>
    <t>Batch gate run</t>
  </si>
  <si>
    <t>Real-data divergence (G-14)</t>
  </si>
  <si>
    <t>Reported and explained</t>
  </si>
  <si>
    <t>Calibration is what makes synthetic defensible, not volume</t>
  </si>
  <si>
    <t>vs Kaggle 100k distributions</t>
  </si>
  <si>
    <t>Confidence calibration error</t>
  </si>
  <si>
    <t>Within tolerance</t>
  </si>
  <si>
    <t>A confidence score that does not track accuracy is worse than none</t>
  </si>
  <si>
    <t>QA/Verifier sampled runs</t>
  </si>
  <si>
    <t>Demo run success</t>
  </si>
  <si>
    <t>Delivery</t>
  </si>
  <si>
    <t>2 clean runs, no reset</t>
  </si>
  <si>
    <t>The gate G4 criterion</t>
  </si>
  <si>
    <t>Rehearsals 2 and 3</t>
  </si>
  <si>
    <t>Sprint effort vs plan</t>
  </si>
  <si>
    <t>Within buffer</t>
  </si>
  <si>
    <t>Buffer consumption is the early-warning signal</t>
  </si>
  <si>
    <t>Weekly burn-down</t>
  </si>
  <si>
    <t>Anthropic spend</t>
  </si>
  <si>
    <t>Cost</t>
  </si>
  <si>
    <t>Within approved ceiling</t>
  </si>
  <si>
    <t>Prevents a runaway batch consuming the sprint budget</t>
  </si>
  <si>
    <t>Harness cost meter</t>
  </si>
  <si>
    <t>Ingestion completeness, six systems</t>
  </si>
  <si>
    <t>A gap anywhere hollows out the digital-twin claim entirely</t>
  </si>
  <si>
    <t>Reconciliation job after every run</t>
  </si>
  <si>
    <t>Systems in a demo context pack</t>
  </si>
  <si>
    <t>Cross-system context is the whole differentiation; one system proves nothing</t>
  </si>
  <si>
    <t>systems_in_pack reported per ticket</t>
  </si>
  <si>
    <t>Voice triage macro-F1</t>
  </si>
  <si>
    <t>Deliberately lower than text: a transcript with real ASR errors is harder, and pretending otherwise would be dishonest</t>
  </si>
  <si>
    <t>Held-out voice split, reported separately</t>
  </si>
  <si>
    <t>Measured, not targeted</t>
  </si>
  <si>
    <t>Reporting it builds more credibility than hiding it</t>
  </si>
  <si>
    <t>Against the reference dialogue script</t>
  </si>
  <si>
    <t>Analyst stat reproducibility</t>
  </si>
  <si>
    <t>If a number on screen cannot be reproduced by a query, it is decoration</t>
  </si>
  <si>
    <t>20 sampled analysts re-derived</t>
  </si>
  <si>
    <t>Assignment evidence coverage</t>
  </si>
  <si>
    <t>An unexplained recommendation is one a team lead will ignore</t>
  </si>
  <si>
    <t>Every claim click-through to its tickets</t>
  </si>
  <si>
    <t>Explicitly Out of Scope</t>
  </si>
  <si>
    <t>Read this before agreeing to anything in a meeting. Each exclusion is a recorded decision, not an omission.</t>
  </si>
  <si>
    <t>Excluded</t>
  </si>
  <si>
    <t>Why</t>
  </si>
  <si>
    <t>Decision source</t>
  </si>
  <si>
    <t>Where it goes</t>
  </si>
  <si>
    <t>Autonomous (non-HITL) execution</t>
  </si>
  <si>
    <t>Output is classification and stated intention; execution is deferred. There is not even a disabled autonomous path in the codebase — that is deliberate, because a disabled path is a path.</t>
  </si>
  <si>
    <t>29-Jul MoM</t>
  </si>
  <si>
    <t>MVP Phase 2</t>
  </si>
  <si>
    <t>Salesforce Service Cloud adapter</t>
  </si>
  <si>
    <t>Higher integration risk; customers run multiple interlinked clouds. Zendesk is more standalone with a broader install base.</t>
  </si>
  <si>
    <t>21-Jul MoM</t>
  </si>
  <si>
    <t>ServiceNow / Jira Service Management adapters</t>
  </si>
  <si>
    <t>Same adapter contract; additive work that changes nothing in the canonical core.</t>
  </si>
  <si>
    <t>22-Jul design</t>
  </si>
  <si>
    <t>GA</t>
  </si>
  <si>
    <t>End-user chatbot or deflection UI</t>
  </si>
  <si>
    <t>No dedicated end-user interface in the MVP; the product embeds into existing channels.</t>
  </si>
  <si>
    <t>23-Jul MoM</t>
  </si>
  <si>
    <t>Not planned</t>
  </si>
  <si>
    <t>Voice channel</t>
  </si>
  <si>
    <t>Out of MVP scope. Modelled in the corpus as a channel, not integrated.</t>
  </si>
  <si>
    <t>Multi-tenant SaaS</t>
  </si>
  <si>
    <t>Single-tenant customer-hosted deployment avoids the SOC 2 and compliance burden at this stage.</t>
  </si>
  <si>
    <t>Langfuse / LangMem governance stack</t>
  </si>
  <si>
    <t>Deferred pending a technical spike — the tooling was judged new with limited community support. A lightweight internal audit table substitutes and is the migration target.</t>
  </si>
  <si>
    <t>28-Jul MoM</t>
  </si>
  <si>
    <t>Workforce management (shifts, rosters, round-robin)</t>
  </si>
  <si>
    <t>Explicitly excluded as a scope-expansion risk. Assignment uses skills and capacity only.</t>
  </si>
  <si>
    <t>Predictive volume forecasting</t>
  </si>
  <si>
    <t>Not on the demo path and not what the POC is trying to prove.</t>
  </si>
  <si>
    <t>Process-mining digital twin</t>
  </si>
  <si>
    <t>Interesting, but it is not what this demo proves.</t>
  </si>
  <si>
    <t>Corpus scale-out to 20,000 tickets</t>
  </si>
  <si>
    <t>Gated on the 18 validation gates passing at 6,000. Depth before breadth.</t>
  </si>
  <si>
    <t>Master Spec §11</t>
  </si>
  <si>
    <t>MCP connectors (Slack, Teams, docs, HRIS)</t>
  </si>
  <si>
    <t>N+M not N×M — added per tenant need rather than speculatively.</t>
  </si>
  <si>
    <t>Production hardening, HA, scale beyond 6,000 tickets</t>
  </si>
  <si>
    <t>Correct to defer. At D20 the system should be convincing and honest, not scalable.</t>
  </si>
  <si>
    <t>This plan</t>
  </si>
  <si>
    <t>Pre-Zendesk multi-channel intake layer (Phase 1.5)</t>
  </si>
  <si>
    <t>Design not yet defined; flagged as open on 22-Jul.</t>
  </si>
  <si>
    <t>22-Jul MoM</t>
  </si>
  <si>
    <t>Capturing off-platform resolution comms for real</t>
  </si>
  <si>
    <t>Unresolved customer-access sensitivity. Simulated richly in the corpus, not integrated.</t>
  </si>
  <si>
    <t>Real or anonymised customer data</t>
  </si>
  <si>
    <t>No customer environment exists yet. Synthetic only, with is_synthetic on every row.</t>
  </si>
  <si>
    <t>When a design partner signs</t>
  </si>
  <si>
    <t>Native mobile experience</t>
  </si>
  <si>
    <t>No requirement identified. The console is desktop-first.</t>
  </si>
  <si>
    <t>Multi-language support beyond detection</t>
  </si>
  <si>
    <t>Language is detected and recorded; generation and drafting are English-only for the POC.</t>
  </si>
  <si>
    <t>Live tenant integrations for any of the six systems</t>
  </si>
  <si>
    <t>The emulators exist so the integration path can be built and tested without one. Swapping an emulator for a real tenant is roughly a day per system — base URL, auth, nothing above the adapter changes.</t>
  </si>
  <si>
    <t>v2 decision</t>
  </si>
  <si>
    <t>Write-back to Salesforce, Jira, Entra or Slack</t>
  </si>
  <si>
    <t>Only Zendesk implements ActionExecutor with real writes. The others raise NotImplementedError by design, matching their read-context role in the POC.</t>
  </si>
  <si>
    <t>Real-time speech-to-text on live calls</t>
  </si>
  <si>
    <t>Batch K transcribes generated calls offline. Streaming ASR on a live call is a different engineering problem with different latency constraints.</t>
  </si>
  <si>
    <t>Workforce management — shift planning, rostering, forecasting, absence, round-robin</t>
  </si>
  <si>
    <t>Excluded 21-Jul and the exclusion holds in v2. We model analyst CAPABILITY — skills, history, measured outcomes. We never schedule a human being. analyst_load holds current open count and working-hours availability only.</t>
  </si>
  <si>
    <t>21-Jul MoM, restated v2</t>
  </si>
  <si>
    <t>Analyst performance management, ranking or appraisal</t>
  </si>
  <si>
    <t>Capability signals exist to route work well and to surface where someone would benefit from support. Turning them into a ranking or appraisal tool is a different product with different ethics, and it is not this one.</t>
  </si>
  <si>
    <t>Source Systems — Emulated</t>
  </si>
  <si>
    <t>Six systems, each with a faithful replica of its native schema and a mock API speaking the real endpoint shapes. Synthetic data, real integration path. Never presented as live.</t>
  </si>
  <si>
    <t>Role in the story</t>
  </si>
  <si>
    <t>Native objects modelled</t>
  </si>
  <si>
    <t>API behaviour reproduced</t>
  </si>
  <si>
    <t>Adapter scope</t>
  </si>
  <si>
    <t>Canonical entities produced</t>
  </si>
  <si>
    <t>Primary ticketing — the beachhead confirmed 17-Jul and 21-Jul.</t>
  </si>
  <si>
    <t>tickets · users · organizations · ticket_comments · ticket_audits · ticket_metric_events · groups · macros · triggers · ticket_fields · custom_object_records (assets) · hc_articles</t>
  </si>
  <si>
    <t>Cursor incremental export with end_of_stream · sideloads · HMAC-signed event webhooks · account-wide rate limit returning real 429 + Retry-After</t>
  </si>
  <si>
    <t>Metadata · backfill · events · actions</t>
  </si>
  <si>
    <t>YES — gated</t>
  </si>
  <si>
    <t>Case · Comment · CaseEvent · SLAClock · Actor · Team · Account · KnowledgeArticle · Asset</t>
  </si>
  <si>
    <t>Salesforce Service Cloud</t>
  </si>
  <si>
    <t>A second CRM in a genuinely different shape. Its whole job is to prove the canonical core is not Zendesk-shaped.</t>
  </si>
  <si>
    <t>Case · Contact · Account · User · CaseComment · EmailMessage · Entitlement · Knowledge__kav — 18-character case-safe IDs, zero-padded CaseNumber</t>
  </si>
  <si>
    <t>SOQL-ish query with nextRecordsUrl paging · composite retrieval · a daily API call ceiling that actually depletes</t>
  </si>
  <si>
    <t>Metadata · backfill</t>
  </si>
  <si>
    <t>No</t>
  </si>
  <si>
    <t>Case (secondary) · Account · Actor · Entitlement · KnowledgeArticle</t>
  </si>
  <si>
    <t>Org, roles, skills and employment — the backbone of both the employee-service story and the analyst capability model.</t>
  </si>
  <si>
    <t>Worker · Supervisory_Organization · Job_Profile · Cost_Center · Worker_Skill · Position — Workday field naming, two extract variants</t>
  </si>
  <si>
    <t>Report-as-a-service extract endpoints serving both column-name variants as a reconciliation fixture</t>
  </si>
  <si>
    <t>Worker · OrgUnit · JobProfile · CostCenter · analyst skills and org</t>
  </si>
  <si>
    <t>Jira</t>
  </si>
  <si>
    <t>Where hard tickets escalate to engineering — and where support usually cannot see.</t>
  </si>
  <si>
    <t>issues (PROJECT-nnn keys) · projects · issue_comments · changelog · issue_links · sprints · users</t>
  </si>
  <si>
    <t>REST search with startAt/maxResults · changelog expansion · issue links</t>
  </si>
  <si>
    <t>Escalation issues linked to Case · engineering comments</t>
  </si>
  <si>
    <t>Microsoft Entra</t>
  </si>
  <si>
    <t>Identity, groups and devices — the org structure Workday does not fully capture. Flagged as a gap on 29-Jul.</t>
  </si>
  <si>
    <t>users (GUID) · groups · group_members · devices · sign_in_logs</t>
  </si>
  <si>
    <t>Graph-style $select / $filter / @odata.nextLink paging</t>
  </si>
  <si>
    <t>Group membership · devices · sign-in context for identity resolution</t>
  </si>
  <si>
    <t>Slack / Teams</t>
  </si>
  <si>
    <t>Where resolution actually happens, off-platform. The 22-Jul MoM flagged that real resolutions often never reach Zendesk.</t>
  </si>
  <si>
    <t>channels (incl. Connect) · messages (epoch.micro ts) · threads via thread_ts · users · reactions · files</t>
  </si>
  <si>
    <t>conversations.history and conversations.replies with cursor paging and thread semantics</t>
  </si>
  <si>
    <t>Off-platform Comments linked to Case · participants</t>
  </si>
  <si>
    <t>FIDELITY RULES — Zendesk uses bigint ids and generated_ts ordering; Salesforce uses 18-character case-safe ids and zero-padded CaseNumber; Jira uses PROJECT-nnn keys; Entra uses GUIDs; Slack uses epoch.microsecond timestamp strings with thread_ts reply semantics. These are not decoration: an adapter written against tidy UUIDs everywhere breaks on contact with a real tenant, and we would not find out until it mattered.</t>
  </si>
  <si>
    <t>CHAOS MODE — every emulator supports ?chaos=429|500|slow|partial, so resilience is tested honestly rather than hoped for. Showing this to a technical buyer is worth more than claiming it.</t>
  </si>
  <si>
    <t>WHAT WE DO NOT CLAIM — these are emulated systems carrying synthetic data, with is_synthetic on every row at every layer, labelled on the connections screen, in the corpus datasheet and in every deck. The claim is narrower and stronger: the adapter, ingestion, canonical and context layers are production-shaped and would work against the real systems unmodified, because they are speaking to the real API shapes today.</t>
  </si>
  <si>
    <t>PHASE 2 MIGRATION — replacing an emulator with a real tenant is roughly a day per system: swap the base URL, swap the auth, keep everything else. The emulators then survive as the integration test harness, which is worth more after the sprint than during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</si>
</sst>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charset val="1"/>
    </font>
    <font>
      <b/>
      <sz val="15"/>
      <color rgb="FFFFFFFF"/>
      <name val="Arial"/>
      <charset val="1"/>
    </font>
    <font>
      <i/>
      <sz val="9"/>
      <color rgb="FFFFFFFF"/>
      <name val="Arial"/>
      <charset val="1"/>
    </font>
    <font>
      <b/>
      <sz val="9"/>
      <color rgb="FF1F3864"/>
      <name val="Arial"/>
      <charset val="1"/>
    </font>
    <font>
      <sz val="9"/>
      <name val="Arial"/>
      <charset val="1"/>
    </font>
    <font>
      <b/>
      <sz val="11"/>
      <color rgb="FF1F3864"/>
      <name val="Arial"/>
      <charset val="1"/>
    </font>
    <font>
      <b/>
      <sz val="9"/>
      <color rgb="FFFFFFFF"/>
      <name val="Arial"/>
      <charset val="1"/>
    </font>
    <font>
      <b/>
      <sz val="9"/>
      <name val="Arial"/>
      <charset val="1"/>
    </font>
    <font>
      <i/>
      <sz val="9"/>
      <name val="Arial"/>
      <charset val="1"/>
    </font>
    <font>
      <i/>
      <sz val="9"/>
      <color rgb="FF404040"/>
      <name val="Arial"/>
      <charset val="1"/>
    </font>
  </fonts>
  <fills count="18">
    <fill>
      <patternFill patternType="none"/>
    </fill>
    <fill>
      <patternFill patternType="gray125"/>
    </fill>
    <fill>
      <patternFill patternType="solid">
        <fgColor rgb="FF1F3864"/>
        <bgColor rgb="FF333399"/>
      </patternFill>
    </fill>
    <fill>
      <patternFill patternType="solid">
        <fgColor rgb="FF2E5E8C"/>
        <bgColor rgb="FF1F3864"/>
      </patternFill>
    </fill>
    <fill>
      <patternFill patternType="solid">
        <fgColor rgb="FFE8F1FA"/>
        <bgColor rgb="FFE6F4F4"/>
      </patternFill>
    </fill>
    <fill>
      <patternFill patternType="solid">
        <fgColor rgb="FFF8CBAD"/>
        <bgColor rgb="FFFFE699"/>
      </patternFill>
    </fill>
    <fill>
      <patternFill patternType="solid">
        <fgColor rgb="FFFFF2CC"/>
        <bgColor rgb="FFFFF6E5"/>
      </patternFill>
    </fill>
    <fill>
      <patternFill patternType="solid">
        <fgColor rgb="FFFFE699"/>
        <bgColor rgb="FFFFF2CC"/>
      </patternFill>
    </fill>
    <fill>
      <patternFill patternType="solid">
        <fgColor rgb="FFFFF6E5"/>
        <bgColor rgb="FFFFF0F5"/>
      </patternFill>
    </fill>
    <fill>
      <patternFill patternType="solid">
        <fgColor rgb="FFEAF3E9"/>
        <bgColor rgb="FFE6F4F4"/>
      </patternFill>
    </fill>
    <fill>
      <patternFill patternType="solid">
        <fgColor rgb="FFF3EAF6"/>
        <bgColor rgb="FFFBECEC"/>
      </patternFill>
    </fill>
    <fill>
      <patternFill patternType="solid">
        <fgColor rgb="FFD9E1F2"/>
        <bgColor rgb="FFE8F1FA"/>
      </patternFill>
    </fill>
    <fill>
      <patternFill patternType="solid">
        <fgColor rgb="FFE6F4F4"/>
        <bgColor rgb="FFE8F1FA"/>
      </patternFill>
    </fill>
    <fill>
      <patternFill patternType="solid">
        <fgColor rgb="FFFBECEC"/>
        <bgColor rgb="FFFFF0F5"/>
      </patternFill>
    </fill>
    <fill>
      <patternFill patternType="solid">
        <fgColor rgb="FFEFEFE3"/>
        <bgColor rgb="FFEAF3E9"/>
      </patternFill>
    </fill>
    <fill>
      <patternFill patternType="solid">
        <fgColor rgb="FFF2F2F2"/>
        <bgColor rgb="FFEAF3E9"/>
      </patternFill>
    </fill>
    <fill>
      <patternFill patternType="solid">
        <fgColor rgb="FFFFF0F5"/>
        <bgColor rgb="FFFBECEC"/>
      </patternFill>
    </fill>
    <fill>
      <patternFill patternType="solid">
        <fgColor rgb="FFF0F8E8"/>
        <bgColor rgb="FFEAF3E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 fillId="2" borderId="0" xfId="0" applyFont="1" applyFill="1"/>
    <xf numFmtId="0" fontId="0" fillId="2" borderId="0" xfId="0" applyFill="1"/>
    <xf numFmtId="0" fontId="2" fillId="3" borderId="0" xfId="0" applyFont="1" applyFill="1"/>
    <xf numFmtId="0" fontId="0" fillId="3" borderId="0" xfId="0" applyFill="1"/>
    <xf numFmtId="0" fontId="3" fillId="0" borderId="0" xfId="0" applyFont="1"/>
    <xf numFmtId="0" fontId="4" fillId="0" borderId="0" xfId="0" applyFont="1" applyAlignment="1">
      <alignment vertical="top" wrapText="1"/>
    </xf>
    <xf numFmtId="0" fontId="5" fillId="0" borderId="0" xfId="0" applyFont="1"/>
    <xf numFmtId="0" fontId="6" fillId="3" borderId="1" xfId="0" applyFont="1" applyFill="1" applyBorder="1" applyAlignment="1">
      <alignment horizontal="center" vertical="center" wrapText="1"/>
    </xf>
    <xf numFmtId="0" fontId="7" fillId="0" borderId="1" xfId="0" applyFont="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xf>
    <xf numFmtId="9" fontId="4" fillId="0" borderId="1" xfId="0" applyNumberFormat="1" applyFont="1" applyBorder="1" applyAlignment="1">
      <alignment horizontal="center" vertical="top"/>
    </xf>
    <xf numFmtId="0" fontId="7" fillId="0" borderId="1" xfId="0" applyFont="1" applyBorder="1" applyAlignment="1">
      <alignment horizontal="left" vertical="top"/>
    </xf>
    <xf numFmtId="9" fontId="7" fillId="0" borderId="1" xfId="0" applyNumberFormat="1" applyFont="1" applyBorder="1" applyAlignment="1">
      <alignment horizontal="center" vertical="top"/>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xf>
    <xf numFmtId="0" fontId="7" fillId="4" borderId="1" xfId="0" applyFont="1" applyFill="1" applyBorder="1" applyAlignment="1">
      <alignment horizontal="left" vertical="top"/>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xf numFmtId="0" fontId="4" fillId="7" borderId="1" xfId="0" applyFont="1" applyFill="1" applyBorder="1" applyAlignment="1">
      <alignment horizontal="center" vertical="top"/>
    </xf>
    <xf numFmtId="0" fontId="7" fillId="8" borderId="1" xfId="0" applyFont="1" applyFill="1" applyBorder="1" applyAlignment="1">
      <alignment horizontal="left" vertical="top"/>
    </xf>
    <xf numFmtId="0" fontId="4" fillId="8" borderId="1" xfId="0" applyFont="1" applyFill="1" applyBorder="1" applyAlignment="1">
      <alignment horizontal="center" vertical="top"/>
    </xf>
    <xf numFmtId="0" fontId="7" fillId="9" borderId="1" xfId="0" applyFont="1" applyFill="1" applyBorder="1" applyAlignment="1">
      <alignment horizontal="left" vertical="top"/>
    </xf>
    <xf numFmtId="0" fontId="4" fillId="9" borderId="1" xfId="0" applyFont="1" applyFill="1" applyBorder="1" applyAlignment="1">
      <alignment horizontal="center" vertical="top"/>
    </xf>
    <xf numFmtId="0" fontId="7" fillId="10" borderId="1" xfId="0" applyFont="1" applyFill="1" applyBorder="1" applyAlignment="1">
      <alignment horizontal="left" vertical="top"/>
    </xf>
    <xf numFmtId="0" fontId="4" fillId="10" borderId="1" xfId="0" applyFont="1" applyFill="1" applyBorder="1" applyAlignment="1">
      <alignment horizontal="center" vertical="top"/>
    </xf>
    <xf numFmtId="0" fontId="4" fillId="11" borderId="1" xfId="0" applyFont="1" applyFill="1" applyBorder="1" applyAlignment="1">
      <alignment horizontal="center" vertical="top"/>
    </xf>
    <xf numFmtId="0" fontId="7" fillId="12" borderId="1" xfId="0" applyFont="1" applyFill="1" applyBorder="1" applyAlignment="1">
      <alignment horizontal="left" vertical="top"/>
    </xf>
    <xf numFmtId="0" fontId="4" fillId="12" borderId="1" xfId="0" applyFont="1" applyFill="1" applyBorder="1" applyAlignment="1">
      <alignment horizontal="center" vertical="top"/>
    </xf>
    <xf numFmtId="0" fontId="7" fillId="13" borderId="1" xfId="0" applyFont="1" applyFill="1" applyBorder="1" applyAlignment="1">
      <alignment horizontal="left" vertical="top"/>
    </xf>
    <xf numFmtId="0" fontId="4" fillId="13" borderId="1" xfId="0" applyFont="1" applyFill="1" applyBorder="1" applyAlignment="1">
      <alignment horizontal="center" vertical="top"/>
    </xf>
    <xf numFmtId="0" fontId="7" fillId="14" borderId="1" xfId="0" applyFont="1" applyFill="1" applyBorder="1" applyAlignment="1">
      <alignment horizontal="left" vertical="top"/>
    </xf>
    <xf numFmtId="0" fontId="4" fillId="14" borderId="1" xfId="0" applyFont="1" applyFill="1" applyBorder="1" applyAlignment="1">
      <alignment horizontal="center" vertical="top"/>
    </xf>
    <xf numFmtId="0" fontId="7" fillId="15" borderId="1" xfId="0" applyFont="1" applyFill="1" applyBorder="1" applyAlignment="1">
      <alignment horizontal="left" vertical="top"/>
    </xf>
    <xf numFmtId="0" fontId="4" fillId="15" borderId="1" xfId="0" applyFont="1" applyFill="1" applyBorder="1" applyAlignment="1">
      <alignment horizontal="center" vertical="top"/>
    </xf>
    <xf numFmtId="0" fontId="7" fillId="16" borderId="1" xfId="0" applyFont="1" applyFill="1" applyBorder="1" applyAlignment="1">
      <alignment horizontal="left" vertical="top"/>
    </xf>
    <xf numFmtId="0" fontId="4" fillId="16" borderId="1" xfId="0" applyFont="1" applyFill="1" applyBorder="1" applyAlignment="1">
      <alignment horizontal="center" vertical="top"/>
    </xf>
    <xf numFmtId="0" fontId="7" fillId="17" borderId="1" xfId="0" applyFont="1" applyFill="1" applyBorder="1" applyAlignment="1">
      <alignment horizontal="left" vertical="top"/>
    </xf>
    <xf numFmtId="0" fontId="4" fillId="17" borderId="1" xfId="0" applyFont="1" applyFill="1" applyBorder="1" applyAlignment="1">
      <alignment horizontal="center" vertical="top"/>
    </xf>
    <xf numFmtId="0" fontId="8" fillId="0" borderId="0" xfId="0" applyFont="1"/>
    <xf numFmtId="0" fontId="7" fillId="0" borderId="1" xfId="0" applyFont="1" applyBorder="1" applyAlignment="1">
      <alignment horizontal="left" vertical="top" wrapText="1"/>
    </xf>
    <xf numFmtId="0" fontId="4" fillId="0" borderId="1" xfId="0" applyFont="1" applyBorder="1" applyAlignment="1">
      <alignment horizontal="center" vertical="top"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6E5"/>
      <rgbColor rgb="FFFF00FF"/>
      <rgbColor rgb="FF00FFFF"/>
      <rgbColor rgb="FF800000"/>
      <rgbColor rgb="FF008000"/>
      <rgbColor rgb="FF000080"/>
      <rgbColor rgb="FF808000"/>
      <rgbColor rgb="FF800080"/>
      <rgbColor rgb="FF008080"/>
      <rgbColor rgb="FFBFBFBF"/>
      <rgbColor rgb="FF808080"/>
      <rgbColor rgb="FFF2F2F2"/>
      <rgbColor rgb="FF993366"/>
      <rgbColor rgb="FFFFF2CC"/>
      <rgbColor rgb="FFE6F4F4"/>
      <rgbColor rgb="FF660066"/>
      <rgbColor rgb="FFFF8080"/>
      <rgbColor rgb="FF0066CC"/>
      <rgbColor rgb="FFD9E1F2"/>
      <rgbColor rgb="FF000080"/>
      <rgbColor rgb="FFFF00FF"/>
      <rgbColor rgb="FFF0F8E8"/>
      <rgbColor rgb="FF00FFFF"/>
      <rgbColor rgb="FF800080"/>
      <rgbColor rgb="FF800000"/>
      <rgbColor rgb="FF008080"/>
      <rgbColor rgb="FF0000FF"/>
      <rgbColor rgb="FF00CCFF"/>
      <rgbColor rgb="FFE8F1FA"/>
      <rgbColor rgb="FFEAF3E9"/>
      <rgbColor rgb="FFFFE699"/>
      <rgbColor rgb="FFF3EAF6"/>
      <rgbColor rgb="FFFBECEC"/>
      <rgbColor rgb="FFEFEFE3"/>
      <rgbColor rgb="FFF8CBAD"/>
      <rgbColor rgb="FF3366FF"/>
      <rgbColor rgb="FF33CCCC"/>
      <rgbColor rgb="FF99CC00"/>
      <rgbColor rgb="FFFFF0F5"/>
      <rgbColor rgb="FFFF9900"/>
      <rgbColor rgb="FFFF6600"/>
      <rgbColor rgb="FF2E5E8C"/>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showGridLines="0" topLeftCell="A6" zoomScaleNormal="100" workbookViewId="0"/>
  </sheetViews>
  <sheetFormatPr defaultColWidth="8.7109375" defaultRowHeight="14.45"/>
  <cols>
    <col min="1" max="1" width="26" customWidth="1"/>
    <col min="2" max="2" width="112" customWidth="1"/>
  </cols>
  <sheetData>
    <row r="1" spans="1:4" ht="25.5" customHeight="1">
      <c r="A1" s="1" t="s">
        <v>0</v>
      </c>
      <c r="B1" s="2"/>
      <c r="C1" s="2"/>
      <c r="D1" s="2"/>
    </row>
    <row r="2" spans="1:4" ht="15.75" customHeight="1">
      <c r="A2" s="3" t="s">
        <v>1</v>
      </c>
      <c r="B2" s="4"/>
      <c r="C2" s="4"/>
      <c r="D2" s="4"/>
    </row>
    <row r="4" spans="1:4" ht="24" customHeight="1">
      <c r="A4" s="5" t="s">
        <v>2</v>
      </c>
      <c r="B4" s="6" t="s">
        <v>3</v>
      </c>
    </row>
    <row r="5" spans="1:4" ht="24" customHeight="1">
      <c r="A5" s="5" t="s">
        <v>4</v>
      </c>
      <c r="B5" s="6" t="s">
        <v>5</v>
      </c>
    </row>
    <row r="6" spans="1:4" ht="60" customHeight="1">
      <c r="A6" s="5" t="s">
        <v>6</v>
      </c>
      <c r="B6" s="6" t="s">
        <v>7</v>
      </c>
    </row>
    <row r="7" spans="1:4" ht="13.5" customHeight="1">
      <c r="A7" s="5"/>
      <c r="B7" s="6"/>
    </row>
    <row r="8" spans="1:4" ht="13.5" customHeight="1">
      <c r="A8" s="5" t="s">
        <v>8</v>
      </c>
      <c r="B8" s="6"/>
    </row>
    <row r="9" spans="1:4" ht="13.5" customHeight="1">
      <c r="A9" s="5" t="s">
        <v>9</v>
      </c>
      <c r="B9" s="6" t="s">
        <v>10</v>
      </c>
    </row>
    <row r="10" spans="1:4" ht="24" customHeight="1">
      <c r="A10" s="5" t="s">
        <v>11</v>
      </c>
      <c r="B10" s="6" t="s">
        <v>12</v>
      </c>
    </row>
    <row r="11" spans="1:4" ht="13.5" customHeight="1">
      <c r="A11" s="5" t="s">
        <v>13</v>
      </c>
      <c r="B11" s="6" t="s">
        <v>14</v>
      </c>
    </row>
    <row r="12" spans="1:4" ht="13.5" customHeight="1">
      <c r="A12" s="5" t="s">
        <v>15</v>
      </c>
      <c r="B12" s="6" t="s">
        <v>16</v>
      </c>
    </row>
    <row r="13" spans="1:4" ht="13.5" customHeight="1">
      <c r="A13" s="5" t="s">
        <v>17</v>
      </c>
      <c r="B13" s="6" t="s">
        <v>18</v>
      </c>
    </row>
    <row r="14" spans="1:4" ht="13.5" customHeight="1">
      <c r="A14" s="5" t="s">
        <v>19</v>
      </c>
      <c r="B14" s="6" t="s">
        <v>20</v>
      </c>
    </row>
    <row r="15" spans="1:4" ht="13.5" customHeight="1">
      <c r="A15" s="5" t="s">
        <v>21</v>
      </c>
      <c r="B15" s="6" t="s">
        <v>22</v>
      </c>
    </row>
    <row r="16" spans="1:4" ht="24" customHeight="1">
      <c r="A16" s="5" t="s">
        <v>23</v>
      </c>
      <c r="B16" s="6" t="s">
        <v>24</v>
      </c>
    </row>
    <row r="17" spans="1:2" ht="24" customHeight="1">
      <c r="A17" s="5" t="s">
        <v>25</v>
      </c>
      <c r="B17" s="6" t="s">
        <v>26</v>
      </c>
    </row>
    <row r="18" spans="1:2" ht="24" customHeight="1">
      <c r="A18" s="5" t="s">
        <v>27</v>
      </c>
      <c r="B18" s="6" t="s">
        <v>28</v>
      </c>
    </row>
    <row r="19" spans="1:2" ht="13.5" customHeight="1">
      <c r="A19" s="5"/>
      <c r="B19" s="6"/>
    </row>
    <row r="20" spans="1:2" ht="24" customHeight="1">
      <c r="A20" s="5" t="s">
        <v>29</v>
      </c>
      <c r="B20" s="6" t="s">
        <v>30</v>
      </c>
    </row>
    <row r="21" spans="1:2" ht="24" customHeight="1">
      <c r="A21" s="5" t="s">
        <v>31</v>
      </c>
      <c r="B21" s="6" t="s">
        <v>32</v>
      </c>
    </row>
    <row r="22" spans="1:2" ht="13.5" customHeight="1">
      <c r="A22" s="5" t="s">
        <v>33</v>
      </c>
      <c r="B22" s="6" t="s">
        <v>34</v>
      </c>
    </row>
    <row r="23" spans="1:2" ht="24" customHeight="1">
      <c r="A23" s="5" t="s">
        <v>35</v>
      </c>
      <c r="B23" s="6" t="s">
        <v>36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showGridLines="0" zoomScaleNormal="100" workbookViewId="0"/>
  </sheetViews>
  <sheetFormatPr defaultColWidth="8.7109375" defaultRowHeight="14.45"/>
  <cols>
    <col min="1" max="1" width="8" customWidth="1"/>
    <col min="2" max="2" width="40" customWidth="1"/>
    <col min="3" max="3" width="12" customWidth="1"/>
    <col min="4" max="7" width="9" customWidth="1"/>
    <col min="8" max="8" width="10" customWidth="1"/>
  </cols>
  <sheetData>
    <row r="1" spans="1:8" ht="25.5" customHeight="1">
      <c r="A1" s="1" t="s">
        <v>37</v>
      </c>
      <c r="B1" s="2"/>
      <c r="C1" s="2"/>
      <c r="D1" s="2"/>
      <c r="E1" s="2"/>
      <c r="F1" s="2"/>
      <c r="G1" s="2"/>
      <c r="H1" s="2"/>
    </row>
    <row r="2" spans="1:8" ht="15.75" customHeight="1">
      <c r="A2" s="3" t="s">
        <v>38</v>
      </c>
      <c r="B2" s="4"/>
      <c r="C2" s="4"/>
      <c r="D2" s="4"/>
      <c r="E2" s="4"/>
      <c r="F2" s="4"/>
      <c r="G2" s="4"/>
      <c r="H2" s="4"/>
    </row>
    <row r="4" spans="1:8">
      <c r="A4" s="7" t="s">
        <v>39</v>
      </c>
    </row>
    <row r="5" spans="1:8" ht="31.5" customHeight="1">
      <c r="A5" s="8" t="s">
        <v>40</v>
      </c>
      <c r="B5" s="8" t="s">
        <v>41</v>
      </c>
      <c r="C5" s="8" t="s">
        <v>42</v>
      </c>
      <c r="D5" s="8" t="s">
        <v>43</v>
      </c>
      <c r="E5" s="8" t="s">
        <v>44</v>
      </c>
      <c r="F5" s="8" t="s">
        <v>45</v>
      </c>
      <c r="G5" s="8" t="s">
        <v>46</v>
      </c>
      <c r="H5" s="8" t="s">
        <v>47</v>
      </c>
    </row>
    <row r="6" spans="1:8">
      <c r="A6" s="9" t="s">
        <v>48</v>
      </c>
      <c r="B6" s="10" t="s">
        <v>49</v>
      </c>
      <c r="C6" s="11">
        <f>COUNTIF('02_Feature_List'!$B$5:$B$141,$A6)</f>
        <v>9</v>
      </c>
      <c r="D6" s="11">
        <f>COUNTIFS('02_Feature_List'!$B$5:$B$141,$A6,'02_Feature_List'!$J$5:$J$141,"Must")</f>
        <v>8</v>
      </c>
      <c r="E6" s="11">
        <f>COUNTIFS('02_Feature_List'!$B$5:$B$141,$A6,'02_Feature_List'!$J$5:$J$141,"Should")</f>
        <v>1</v>
      </c>
      <c r="F6" s="11">
        <f>COUNTIFS('02_Feature_List'!$B$5:$B$141,$A6,'02_Feature_List'!$J$5:$J$141,"Could")</f>
        <v>0</v>
      </c>
      <c r="G6" s="11">
        <f>COUNTIFS('02_Feature_List'!$B$5:$B$141,$A6,'02_Feature_List'!$Q$5:$Q$141,"Done")</f>
        <v>0</v>
      </c>
      <c r="H6" s="12">
        <f t="shared" ref="H6:H22" si="0">IFERROR(G6/C6,0)</f>
        <v>0</v>
      </c>
    </row>
    <row r="7" spans="1:8">
      <c r="A7" s="9" t="s">
        <v>50</v>
      </c>
      <c r="B7" s="10" t="s">
        <v>51</v>
      </c>
      <c r="C7" s="11">
        <f>COUNTIF('02_Feature_List'!$B$5:$B$141,$A7)</f>
        <v>14</v>
      </c>
      <c r="D7" s="11">
        <f>COUNTIFS('02_Feature_List'!$B$5:$B$141,$A7,'02_Feature_List'!$J$5:$J$141,"Must")</f>
        <v>11</v>
      </c>
      <c r="E7" s="11">
        <f>COUNTIFS('02_Feature_List'!$B$5:$B$141,$A7,'02_Feature_List'!$J$5:$J$141,"Should")</f>
        <v>3</v>
      </c>
      <c r="F7" s="11">
        <f>COUNTIFS('02_Feature_List'!$B$5:$B$141,$A7,'02_Feature_List'!$J$5:$J$141,"Could")</f>
        <v>0</v>
      </c>
      <c r="G7" s="11">
        <f>COUNTIFS('02_Feature_List'!$B$5:$B$141,$A7,'02_Feature_List'!$Q$5:$Q$141,"Done")</f>
        <v>0</v>
      </c>
      <c r="H7" s="12">
        <f t="shared" si="0"/>
        <v>0</v>
      </c>
    </row>
    <row r="8" spans="1:8">
      <c r="A8" s="9" t="s">
        <v>52</v>
      </c>
      <c r="B8" s="10" t="s">
        <v>53</v>
      </c>
      <c r="C8" s="11">
        <f>COUNTIF('02_Feature_List'!$B$5:$B$141,$A8)</f>
        <v>8</v>
      </c>
      <c r="D8" s="11">
        <f>COUNTIFS('02_Feature_List'!$B$5:$B$141,$A8,'02_Feature_List'!$J$5:$J$141,"Must")</f>
        <v>7</v>
      </c>
      <c r="E8" s="11">
        <f>COUNTIFS('02_Feature_List'!$B$5:$B$141,$A8,'02_Feature_List'!$J$5:$J$141,"Should")</f>
        <v>1</v>
      </c>
      <c r="F8" s="11">
        <f>COUNTIFS('02_Feature_List'!$B$5:$B$141,$A8,'02_Feature_List'!$J$5:$J$141,"Could")</f>
        <v>0</v>
      </c>
      <c r="G8" s="11">
        <f>COUNTIFS('02_Feature_List'!$B$5:$B$141,$A8,'02_Feature_List'!$Q$5:$Q$141,"Done")</f>
        <v>0</v>
      </c>
      <c r="H8" s="12">
        <f t="shared" si="0"/>
        <v>0</v>
      </c>
    </row>
    <row r="9" spans="1:8">
      <c r="A9" s="9" t="s">
        <v>54</v>
      </c>
      <c r="B9" s="10" t="s">
        <v>55</v>
      </c>
      <c r="C9" s="11">
        <f>COUNTIF('02_Feature_List'!$B$5:$B$141,$A9)</f>
        <v>25</v>
      </c>
      <c r="D9" s="11">
        <f>COUNTIFS('02_Feature_List'!$B$5:$B$141,$A9,'02_Feature_List'!$J$5:$J$141,"Must")</f>
        <v>22</v>
      </c>
      <c r="E9" s="11">
        <f>COUNTIFS('02_Feature_List'!$B$5:$B$141,$A9,'02_Feature_List'!$J$5:$J$141,"Should")</f>
        <v>3</v>
      </c>
      <c r="F9" s="11">
        <f>COUNTIFS('02_Feature_List'!$B$5:$B$141,$A9,'02_Feature_List'!$J$5:$J$141,"Could")</f>
        <v>0</v>
      </c>
      <c r="G9" s="11">
        <f>COUNTIFS('02_Feature_List'!$B$5:$B$141,$A9,'02_Feature_List'!$Q$5:$Q$141,"Done")</f>
        <v>0</v>
      </c>
      <c r="H9" s="12">
        <f t="shared" si="0"/>
        <v>0</v>
      </c>
    </row>
    <row r="10" spans="1:8">
      <c r="A10" s="9" t="s">
        <v>56</v>
      </c>
      <c r="B10" s="10" t="s">
        <v>57</v>
      </c>
      <c r="C10" s="11">
        <f>COUNTIF('02_Feature_List'!$B$5:$B$141,$A10)</f>
        <v>5</v>
      </c>
      <c r="D10" s="11">
        <f>COUNTIFS('02_Feature_List'!$B$5:$B$141,$A10,'02_Feature_List'!$J$5:$J$141,"Must")</f>
        <v>3</v>
      </c>
      <c r="E10" s="11">
        <f>COUNTIFS('02_Feature_List'!$B$5:$B$141,$A10,'02_Feature_List'!$J$5:$J$141,"Should")</f>
        <v>1</v>
      </c>
      <c r="F10" s="11">
        <f>COUNTIFS('02_Feature_List'!$B$5:$B$141,$A10,'02_Feature_List'!$J$5:$J$141,"Could")</f>
        <v>1</v>
      </c>
      <c r="G10" s="11">
        <f>COUNTIFS('02_Feature_List'!$B$5:$B$141,$A10,'02_Feature_List'!$Q$5:$Q$141,"Done")</f>
        <v>0</v>
      </c>
      <c r="H10" s="12">
        <f t="shared" si="0"/>
        <v>0</v>
      </c>
    </row>
    <row r="11" spans="1:8">
      <c r="A11" s="9" t="s">
        <v>58</v>
      </c>
      <c r="B11" s="10" t="s">
        <v>59</v>
      </c>
      <c r="C11" s="11">
        <f>COUNTIF('02_Feature_List'!$B$5:$B$141,$A11)</f>
        <v>8</v>
      </c>
      <c r="D11" s="11">
        <f>COUNTIFS('02_Feature_List'!$B$5:$B$141,$A11,'02_Feature_List'!$J$5:$J$141,"Must")</f>
        <v>7</v>
      </c>
      <c r="E11" s="11">
        <f>COUNTIFS('02_Feature_List'!$B$5:$B$141,$A11,'02_Feature_List'!$J$5:$J$141,"Should")</f>
        <v>1</v>
      </c>
      <c r="F11" s="11">
        <f>COUNTIFS('02_Feature_List'!$B$5:$B$141,$A11,'02_Feature_List'!$J$5:$J$141,"Could")</f>
        <v>0</v>
      </c>
      <c r="G11" s="11">
        <f>COUNTIFS('02_Feature_List'!$B$5:$B$141,$A11,'02_Feature_List'!$Q$5:$Q$141,"Done")</f>
        <v>0</v>
      </c>
      <c r="H11" s="12">
        <f t="shared" si="0"/>
        <v>0</v>
      </c>
    </row>
    <row r="12" spans="1:8">
      <c r="A12" s="9" t="s">
        <v>60</v>
      </c>
      <c r="B12" s="10" t="s">
        <v>61</v>
      </c>
      <c r="C12" s="11">
        <f>COUNTIF('02_Feature_List'!$B$5:$B$141,$A12)</f>
        <v>7</v>
      </c>
      <c r="D12" s="11">
        <f>COUNTIFS('02_Feature_List'!$B$5:$B$141,$A12,'02_Feature_List'!$J$5:$J$141,"Must")</f>
        <v>6</v>
      </c>
      <c r="E12" s="11">
        <f>COUNTIFS('02_Feature_List'!$B$5:$B$141,$A12,'02_Feature_List'!$J$5:$J$141,"Should")</f>
        <v>0</v>
      </c>
      <c r="F12" s="11">
        <f>COUNTIFS('02_Feature_List'!$B$5:$B$141,$A12,'02_Feature_List'!$J$5:$J$141,"Could")</f>
        <v>1</v>
      </c>
      <c r="G12" s="11">
        <f>COUNTIFS('02_Feature_List'!$B$5:$B$141,$A12,'02_Feature_List'!$Q$5:$Q$141,"Done")</f>
        <v>0</v>
      </c>
      <c r="H12" s="12">
        <f t="shared" si="0"/>
        <v>0</v>
      </c>
    </row>
    <row r="13" spans="1:8">
      <c r="A13" s="9" t="s">
        <v>62</v>
      </c>
      <c r="B13" s="10" t="s">
        <v>63</v>
      </c>
      <c r="C13" s="11">
        <f>COUNTIF('02_Feature_List'!$B$5:$B$141,$A13)</f>
        <v>4</v>
      </c>
      <c r="D13" s="11">
        <f>COUNTIFS('02_Feature_List'!$B$5:$B$141,$A13,'02_Feature_List'!$J$5:$J$141,"Must")</f>
        <v>3</v>
      </c>
      <c r="E13" s="11">
        <f>COUNTIFS('02_Feature_List'!$B$5:$B$141,$A13,'02_Feature_List'!$J$5:$J$141,"Should")</f>
        <v>1</v>
      </c>
      <c r="F13" s="11">
        <f>COUNTIFS('02_Feature_List'!$B$5:$B$141,$A13,'02_Feature_List'!$J$5:$J$141,"Could")</f>
        <v>0</v>
      </c>
      <c r="G13" s="11">
        <f>COUNTIFS('02_Feature_List'!$B$5:$B$141,$A13,'02_Feature_List'!$Q$5:$Q$141,"Done")</f>
        <v>0</v>
      </c>
      <c r="H13" s="12">
        <f t="shared" si="0"/>
        <v>0</v>
      </c>
    </row>
    <row r="14" spans="1:8">
      <c r="A14" s="9" t="s">
        <v>64</v>
      </c>
      <c r="B14" s="10" t="s">
        <v>65</v>
      </c>
      <c r="C14" s="11">
        <f>COUNTIF('02_Feature_List'!$B$5:$B$141,$A14)</f>
        <v>6</v>
      </c>
      <c r="D14" s="11">
        <f>COUNTIFS('02_Feature_List'!$B$5:$B$141,$A14,'02_Feature_List'!$J$5:$J$141,"Must")</f>
        <v>5</v>
      </c>
      <c r="E14" s="11">
        <f>COUNTIFS('02_Feature_List'!$B$5:$B$141,$A14,'02_Feature_List'!$J$5:$J$141,"Should")</f>
        <v>1</v>
      </c>
      <c r="F14" s="11">
        <f>COUNTIFS('02_Feature_List'!$B$5:$B$141,$A14,'02_Feature_List'!$J$5:$J$141,"Could")</f>
        <v>0</v>
      </c>
      <c r="G14" s="11">
        <f>COUNTIFS('02_Feature_List'!$B$5:$B$141,$A14,'02_Feature_List'!$Q$5:$Q$141,"Done")</f>
        <v>0</v>
      </c>
      <c r="H14" s="12">
        <f t="shared" si="0"/>
        <v>0</v>
      </c>
    </row>
    <row r="15" spans="1:8">
      <c r="A15" s="9" t="s">
        <v>66</v>
      </c>
      <c r="B15" s="10" t="s">
        <v>67</v>
      </c>
      <c r="C15" s="11">
        <f>COUNTIF('02_Feature_List'!$B$5:$B$141,$A15)</f>
        <v>7</v>
      </c>
      <c r="D15" s="11">
        <f>COUNTIFS('02_Feature_List'!$B$5:$B$141,$A15,'02_Feature_List'!$J$5:$J$141,"Must")</f>
        <v>5</v>
      </c>
      <c r="E15" s="11">
        <f>COUNTIFS('02_Feature_List'!$B$5:$B$141,$A15,'02_Feature_List'!$J$5:$J$141,"Should")</f>
        <v>2</v>
      </c>
      <c r="F15" s="11">
        <f>COUNTIFS('02_Feature_List'!$B$5:$B$141,$A15,'02_Feature_List'!$J$5:$J$141,"Could")</f>
        <v>0</v>
      </c>
      <c r="G15" s="11">
        <f>COUNTIFS('02_Feature_List'!$B$5:$B$141,$A15,'02_Feature_List'!$Q$5:$Q$141,"Done")</f>
        <v>0</v>
      </c>
      <c r="H15" s="12">
        <f t="shared" si="0"/>
        <v>0</v>
      </c>
    </row>
    <row r="16" spans="1:8">
      <c r="A16" s="9" t="s">
        <v>68</v>
      </c>
      <c r="B16" s="10" t="s">
        <v>69</v>
      </c>
      <c r="C16" s="11">
        <f>COUNTIF('02_Feature_List'!$B$5:$B$141,$A16)</f>
        <v>10</v>
      </c>
      <c r="D16" s="11">
        <f>COUNTIFS('02_Feature_List'!$B$5:$B$141,$A16,'02_Feature_List'!$J$5:$J$141,"Must")</f>
        <v>10</v>
      </c>
      <c r="E16" s="11">
        <f>COUNTIFS('02_Feature_List'!$B$5:$B$141,$A16,'02_Feature_List'!$J$5:$J$141,"Should")</f>
        <v>0</v>
      </c>
      <c r="F16" s="11">
        <f>COUNTIFS('02_Feature_List'!$B$5:$B$141,$A16,'02_Feature_List'!$J$5:$J$141,"Could")</f>
        <v>0</v>
      </c>
      <c r="G16" s="11">
        <f>COUNTIFS('02_Feature_List'!$B$5:$B$141,$A16,'02_Feature_List'!$Q$5:$Q$141,"Done")</f>
        <v>0</v>
      </c>
      <c r="H16" s="12">
        <f t="shared" si="0"/>
        <v>0</v>
      </c>
    </row>
    <row r="17" spans="1:8">
      <c r="A17" s="9" t="s">
        <v>70</v>
      </c>
      <c r="B17" s="10" t="s">
        <v>71</v>
      </c>
      <c r="C17" s="11">
        <f>COUNTIF('02_Feature_List'!$B$5:$B$141,$A17)</f>
        <v>7</v>
      </c>
      <c r="D17" s="11">
        <f>COUNTIFS('02_Feature_List'!$B$5:$B$141,$A17,'02_Feature_List'!$J$5:$J$141,"Must")</f>
        <v>5</v>
      </c>
      <c r="E17" s="11">
        <f>COUNTIFS('02_Feature_List'!$B$5:$B$141,$A17,'02_Feature_List'!$J$5:$J$141,"Should")</f>
        <v>2</v>
      </c>
      <c r="F17" s="11">
        <f>COUNTIFS('02_Feature_List'!$B$5:$B$141,$A17,'02_Feature_List'!$J$5:$J$141,"Could")</f>
        <v>0</v>
      </c>
      <c r="G17" s="11">
        <f>COUNTIFS('02_Feature_List'!$B$5:$B$141,$A17,'02_Feature_List'!$Q$5:$Q$141,"Done")</f>
        <v>0</v>
      </c>
      <c r="H17" s="12">
        <f t="shared" si="0"/>
        <v>0</v>
      </c>
    </row>
    <row r="18" spans="1:8">
      <c r="A18" s="9" t="s">
        <v>72</v>
      </c>
      <c r="B18" s="10" t="s">
        <v>73</v>
      </c>
      <c r="C18" s="11">
        <f>COUNTIF('02_Feature_List'!$B$5:$B$141,$A18)</f>
        <v>6</v>
      </c>
      <c r="D18" s="11">
        <f>COUNTIFS('02_Feature_List'!$B$5:$B$141,$A18,'02_Feature_List'!$J$5:$J$141,"Must")</f>
        <v>6</v>
      </c>
      <c r="E18" s="11">
        <f>COUNTIFS('02_Feature_List'!$B$5:$B$141,$A18,'02_Feature_List'!$J$5:$J$141,"Should")</f>
        <v>0</v>
      </c>
      <c r="F18" s="11">
        <f>COUNTIFS('02_Feature_List'!$B$5:$B$141,$A18,'02_Feature_List'!$J$5:$J$141,"Could")</f>
        <v>0</v>
      </c>
      <c r="G18" s="11">
        <f>COUNTIFS('02_Feature_List'!$B$5:$B$141,$A18,'02_Feature_List'!$Q$5:$Q$141,"Done")</f>
        <v>0</v>
      </c>
      <c r="H18" s="12">
        <f t="shared" si="0"/>
        <v>0</v>
      </c>
    </row>
    <row r="19" spans="1:8">
      <c r="A19" s="9" t="s">
        <v>74</v>
      </c>
      <c r="B19" s="10" t="s">
        <v>75</v>
      </c>
      <c r="C19" s="11">
        <f>COUNTIF('02_Feature_List'!$B$5:$B$141,$A19)</f>
        <v>6</v>
      </c>
      <c r="D19" s="11">
        <f>COUNTIFS('02_Feature_List'!$B$5:$B$141,$A19,'02_Feature_List'!$J$5:$J$141,"Must")</f>
        <v>6</v>
      </c>
      <c r="E19" s="11">
        <f>COUNTIFS('02_Feature_List'!$B$5:$B$141,$A19,'02_Feature_List'!$J$5:$J$141,"Should")</f>
        <v>0</v>
      </c>
      <c r="F19" s="11">
        <f>COUNTIFS('02_Feature_List'!$B$5:$B$141,$A19,'02_Feature_List'!$J$5:$J$141,"Could")</f>
        <v>0</v>
      </c>
      <c r="G19" s="11">
        <f>COUNTIFS('02_Feature_List'!$B$5:$B$141,$A19,'02_Feature_List'!$Q$5:$Q$141,"Done")</f>
        <v>0</v>
      </c>
      <c r="H19" s="12">
        <f t="shared" si="0"/>
        <v>0</v>
      </c>
    </row>
    <row r="20" spans="1:8">
      <c r="A20" s="9" t="s">
        <v>76</v>
      </c>
      <c r="B20" s="10" t="s">
        <v>77</v>
      </c>
      <c r="C20" s="11">
        <f>COUNTIF('02_Feature_List'!$B$5:$B$141,$A20)</f>
        <v>8</v>
      </c>
      <c r="D20" s="11">
        <f>COUNTIFS('02_Feature_List'!$B$5:$B$141,$A20,'02_Feature_List'!$J$5:$J$141,"Must")</f>
        <v>8</v>
      </c>
      <c r="E20" s="11">
        <f>COUNTIFS('02_Feature_List'!$B$5:$B$141,$A20,'02_Feature_List'!$J$5:$J$141,"Should")</f>
        <v>0</v>
      </c>
      <c r="F20" s="11">
        <f>COUNTIFS('02_Feature_List'!$B$5:$B$141,$A20,'02_Feature_List'!$J$5:$J$141,"Could")</f>
        <v>0</v>
      </c>
      <c r="G20" s="11">
        <f>COUNTIFS('02_Feature_List'!$B$5:$B$141,$A20,'02_Feature_List'!$Q$5:$Q$141,"Done")</f>
        <v>0</v>
      </c>
      <c r="H20" s="12">
        <f t="shared" si="0"/>
        <v>0</v>
      </c>
    </row>
    <row r="21" spans="1:8">
      <c r="A21" s="9" t="s">
        <v>78</v>
      </c>
      <c r="B21" s="10" t="s">
        <v>79</v>
      </c>
      <c r="C21" s="11">
        <f>COUNTIF('02_Feature_List'!$B$5:$B$141,$A21)</f>
        <v>7</v>
      </c>
      <c r="D21" s="11">
        <f>COUNTIFS('02_Feature_List'!$B$5:$B$141,$A21,'02_Feature_List'!$J$5:$J$141,"Must")</f>
        <v>7</v>
      </c>
      <c r="E21" s="11">
        <f>COUNTIFS('02_Feature_List'!$B$5:$B$141,$A21,'02_Feature_List'!$J$5:$J$141,"Should")</f>
        <v>0</v>
      </c>
      <c r="F21" s="11">
        <f>COUNTIFS('02_Feature_List'!$B$5:$B$141,$A21,'02_Feature_List'!$J$5:$J$141,"Could")</f>
        <v>0</v>
      </c>
      <c r="G21" s="11">
        <f>COUNTIFS('02_Feature_List'!$B$5:$B$141,$A21,'02_Feature_List'!$Q$5:$Q$141,"Done")</f>
        <v>0</v>
      </c>
      <c r="H21" s="12">
        <f t="shared" si="0"/>
        <v>0</v>
      </c>
    </row>
    <row r="22" spans="1:8">
      <c r="A22" s="10"/>
      <c r="B22" s="13" t="s">
        <v>80</v>
      </c>
      <c r="C22" s="9">
        <f>SUM(C6:C21)</f>
        <v>137</v>
      </c>
      <c r="D22" s="9">
        <f>SUM(D6:D21)</f>
        <v>119</v>
      </c>
      <c r="E22" s="9">
        <f>SUM(E6:E21)</f>
        <v>16</v>
      </c>
      <c r="F22" s="9">
        <f>SUM(F6:F21)</f>
        <v>2</v>
      </c>
      <c r="G22" s="9">
        <f>SUM(G6:G21)</f>
        <v>0</v>
      </c>
      <c r="H22" s="14">
        <f t="shared" si="0"/>
        <v>0</v>
      </c>
    </row>
    <row r="25" spans="1:8">
      <c r="A25" s="7" t="s">
        <v>81</v>
      </c>
    </row>
    <row r="26" spans="1:8" ht="31.5" customHeight="1">
      <c r="A26" s="8" t="s">
        <v>82</v>
      </c>
      <c r="B26" s="8" t="s">
        <v>42</v>
      </c>
      <c r="C26" s="8" t="s">
        <v>83</v>
      </c>
      <c r="D26" s="8" t="s">
        <v>84</v>
      </c>
      <c r="E26" s="8" t="s">
        <v>85</v>
      </c>
      <c r="F26" s="8" t="s">
        <v>86</v>
      </c>
      <c r="G26" s="8"/>
      <c r="H26" s="8"/>
    </row>
    <row r="27" spans="1:8">
      <c r="A27" s="9" t="s">
        <v>87</v>
      </c>
      <c r="B27" s="11">
        <f>COUNTIF('02_Feature_List'!$L$5:$L$141,$A27)</f>
        <v>20</v>
      </c>
      <c r="C27" s="11">
        <f>COUNTIFS('02_Feature_List'!$L$5:$L$141,$A27,'02_Feature_List'!$M$5:$M$141,1)</f>
        <v>2</v>
      </c>
      <c r="D27" s="11">
        <f>COUNTIFS('02_Feature_List'!$L$5:$L$141,$A27,'02_Feature_List'!$M$5:$M$141,2)</f>
        <v>6</v>
      </c>
      <c r="E27" s="11">
        <f>COUNTIFS('02_Feature_List'!$L$5:$L$141,$A27,'02_Feature_List'!$M$5:$M$141,3)</f>
        <v>5</v>
      </c>
      <c r="F27" s="11">
        <f>COUNTIFS('02_Feature_List'!$L$5:$L$141,$A27,'02_Feature_List'!$M$5:$M$141,4)</f>
        <v>7</v>
      </c>
      <c r="G27" s="10"/>
      <c r="H27" s="10"/>
    </row>
    <row r="28" spans="1:8">
      <c r="A28" s="9" t="s">
        <v>88</v>
      </c>
      <c r="B28" s="11">
        <f>COUNTIF('02_Feature_List'!$L$5:$L$141,$A28)</f>
        <v>1</v>
      </c>
      <c r="C28" s="11">
        <f>COUNTIFS('02_Feature_List'!$L$5:$L$141,$A28,'02_Feature_List'!$M$5:$M$141,1)</f>
        <v>0</v>
      </c>
      <c r="D28" s="11">
        <f>COUNTIFS('02_Feature_List'!$L$5:$L$141,$A28,'02_Feature_List'!$M$5:$M$141,2)</f>
        <v>0</v>
      </c>
      <c r="E28" s="11">
        <f>COUNTIFS('02_Feature_List'!$L$5:$L$141,$A28,'02_Feature_List'!$M$5:$M$141,3)</f>
        <v>0</v>
      </c>
      <c r="F28" s="11">
        <f>COUNTIFS('02_Feature_List'!$L$5:$L$141,$A28,'02_Feature_List'!$M$5:$M$141,4)</f>
        <v>1</v>
      </c>
      <c r="G28" s="10"/>
      <c r="H28" s="10"/>
    </row>
    <row r="29" spans="1:8">
      <c r="A29" s="9" t="s">
        <v>89</v>
      </c>
      <c r="B29" s="11">
        <f>COUNTIF('02_Feature_List'!$L$5:$L$141,$A29)</f>
        <v>5</v>
      </c>
      <c r="C29" s="11">
        <f>COUNTIFS('02_Feature_List'!$L$5:$L$141,$A29,'02_Feature_List'!$M$5:$M$141,1)</f>
        <v>0</v>
      </c>
      <c r="D29" s="11">
        <f>COUNTIFS('02_Feature_List'!$L$5:$L$141,$A29,'02_Feature_List'!$M$5:$M$141,2)</f>
        <v>1</v>
      </c>
      <c r="E29" s="11">
        <f>COUNTIFS('02_Feature_List'!$L$5:$L$141,$A29,'02_Feature_List'!$M$5:$M$141,3)</f>
        <v>3</v>
      </c>
      <c r="F29" s="11">
        <f>COUNTIFS('02_Feature_List'!$L$5:$L$141,$A29,'02_Feature_List'!$M$5:$M$141,4)</f>
        <v>1</v>
      </c>
      <c r="G29" s="10"/>
      <c r="H29" s="10"/>
    </row>
    <row r="30" spans="1:8">
      <c r="A30" s="9" t="s">
        <v>90</v>
      </c>
      <c r="B30" s="11">
        <f>COUNTIF('02_Feature_List'!$L$5:$L$141,$A30)</f>
        <v>37</v>
      </c>
      <c r="C30" s="11">
        <f>COUNTIFS('02_Feature_List'!$L$5:$L$141,$A30,'02_Feature_List'!$M$5:$M$141,1)</f>
        <v>11</v>
      </c>
      <c r="D30" s="11">
        <f>COUNTIFS('02_Feature_List'!$L$5:$L$141,$A30,'02_Feature_List'!$M$5:$M$141,2)</f>
        <v>8</v>
      </c>
      <c r="E30" s="11">
        <f>COUNTIFS('02_Feature_List'!$L$5:$L$141,$A30,'02_Feature_List'!$M$5:$M$141,3)</f>
        <v>10</v>
      </c>
      <c r="F30" s="11">
        <f>COUNTIFS('02_Feature_List'!$L$5:$L$141,$A30,'02_Feature_List'!$M$5:$M$141,4)</f>
        <v>8</v>
      </c>
      <c r="G30" s="10"/>
      <c r="H30" s="10"/>
    </row>
    <row r="31" spans="1:8">
      <c r="A31" s="9" t="s">
        <v>91</v>
      </c>
      <c r="B31" s="11">
        <f>COUNTIF('02_Feature_List'!$L$5:$L$141,$A31)</f>
        <v>40</v>
      </c>
      <c r="C31" s="11">
        <f>COUNTIFS('02_Feature_List'!$L$5:$L$141,$A31,'02_Feature_List'!$M$5:$M$141,1)</f>
        <v>14</v>
      </c>
      <c r="D31" s="11">
        <f>COUNTIFS('02_Feature_List'!$L$5:$L$141,$A31,'02_Feature_List'!$M$5:$M$141,2)</f>
        <v>12</v>
      </c>
      <c r="E31" s="11">
        <f>COUNTIFS('02_Feature_List'!$L$5:$L$141,$A31,'02_Feature_List'!$M$5:$M$141,3)</f>
        <v>11</v>
      </c>
      <c r="F31" s="11">
        <f>COUNTIFS('02_Feature_List'!$L$5:$L$141,$A31,'02_Feature_List'!$M$5:$M$141,4)</f>
        <v>3</v>
      </c>
      <c r="G31" s="10"/>
      <c r="H31" s="10"/>
    </row>
    <row r="32" spans="1:8">
      <c r="A32" s="9" t="s">
        <v>92</v>
      </c>
      <c r="B32" s="11">
        <f>COUNTIF('02_Feature_List'!$L$5:$L$141,$A32)</f>
        <v>34</v>
      </c>
      <c r="C32" s="11">
        <f>COUNTIFS('02_Feature_List'!$L$5:$L$141,$A32,'02_Feature_List'!$M$5:$M$141,1)</f>
        <v>12</v>
      </c>
      <c r="D32" s="11">
        <f>COUNTIFS('02_Feature_List'!$L$5:$L$141,$A32,'02_Feature_List'!$M$5:$M$141,2)</f>
        <v>6</v>
      </c>
      <c r="E32" s="11">
        <f>COUNTIFS('02_Feature_List'!$L$5:$L$141,$A32,'02_Feature_List'!$M$5:$M$141,3)</f>
        <v>10</v>
      </c>
      <c r="F32" s="11">
        <f>COUNTIFS('02_Feature_List'!$L$5:$L$141,$A32,'02_Feature_List'!$M$5:$M$141,4)</f>
        <v>6</v>
      </c>
      <c r="G32" s="10"/>
      <c r="H32" s="10"/>
    </row>
    <row r="35" spans="1:8">
      <c r="A35" s="7" t="s">
        <v>93</v>
      </c>
    </row>
    <row r="36" spans="1:8" ht="31.5" customHeight="1">
      <c r="A36" s="8" t="s">
        <v>94</v>
      </c>
      <c r="B36" s="8" t="s">
        <v>95</v>
      </c>
      <c r="C36" s="8" t="s">
        <v>96</v>
      </c>
      <c r="D36" s="8"/>
      <c r="E36" s="8"/>
      <c r="F36" s="8"/>
      <c r="G36" s="8"/>
      <c r="H36" s="8"/>
    </row>
    <row r="37" spans="1:8" ht="23.1">
      <c r="A37" s="9" t="s">
        <v>97</v>
      </c>
      <c r="B37" s="15" t="s">
        <v>98</v>
      </c>
      <c r="C37" s="11">
        <f>COUNTIF('02_Feature_List'!$O$5:$O$141,"*"&amp;$A37&amp;"*")</f>
        <v>22</v>
      </c>
      <c r="D37" s="10"/>
      <c r="E37" s="10"/>
      <c r="F37" s="10"/>
      <c r="G37" s="10"/>
      <c r="H37" s="10"/>
    </row>
    <row r="38" spans="1:8" ht="23.1">
      <c r="A38" s="9" t="s">
        <v>99</v>
      </c>
      <c r="B38" s="15" t="s">
        <v>100</v>
      </c>
      <c r="C38" s="11">
        <f>COUNTIF('02_Feature_List'!$O$5:$O$141,"*"&amp;$A38&amp;"*")</f>
        <v>20</v>
      </c>
      <c r="D38" s="10"/>
      <c r="E38" s="10"/>
      <c r="F38" s="10"/>
      <c r="G38" s="10"/>
      <c r="H38" s="10"/>
    </row>
    <row r="39" spans="1:8" ht="23.1">
      <c r="A39" s="9" t="s">
        <v>101</v>
      </c>
      <c r="B39" s="15" t="s">
        <v>102</v>
      </c>
      <c r="C39" s="11">
        <f>COUNTIF('02_Feature_List'!$O$5:$O$141,"*"&amp;$A39&amp;"*")</f>
        <v>18</v>
      </c>
      <c r="D39" s="10"/>
      <c r="E39" s="10"/>
      <c r="F39" s="10"/>
      <c r="G39" s="10"/>
      <c r="H39" s="10"/>
    </row>
    <row r="40" spans="1:8" ht="23.1">
      <c r="A40" s="9" t="s">
        <v>103</v>
      </c>
      <c r="B40" s="15" t="s">
        <v>104</v>
      </c>
      <c r="C40" s="11">
        <f>COUNTIF('02_Feature_List'!$O$5:$O$141,"*"&amp;$A40&amp;"*")</f>
        <v>19</v>
      </c>
      <c r="D40" s="10"/>
      <c r="E40" s="10"/>
      <c r="F40" s="10"/>
      <c r="G40" s="10"/>
      <c r="H40" s="10"/>
    </row>
    <row r="41" spans="1:8" ht="23.1">
      <c r="A41" s="9" t="s">
        <v>105</v>
      </c>
      <c r="B41" s="15" t="s">
        <v>106</v>
      </c>
      <c r="C41" s="11">
        <f>COUNTIF('02_Feature_List'!$O$5:$O$141,"*"&amp;$A41&amp;"*")</f>
        <v>22</v>
      </c>
      <c r="D41" s="10"/>
      <c r="E41" s="10"/>
      <c r="F41" s="10"/>
      <c r="G41" s="10"/>
      <c r="H41" s="10"/>
    </row>
    <row r="42" spans="1:8" ht="23.1">
      <c r="A42" s="9" t="s">
        <v>107</v>
      </c>
      <c r="B42" s="15" t="s">
        <v>108</v>
      </c>
      <c r="C42" s="11">
        <f>COUNTIF('02_Feature_List'!$O$5:$O$141,"*"&amp;$A42&amp;"*")</f>
        <v>10</v>
      </c>
      <c r="D42" s="10"/>
      <c r="E42" s="10"/>
      <c r="F42" s="10"/>
      <c r="G42" s="10"/>
      <c r="H42" s="10"/>
    </row>
    <row r="43" spans="1:8" ht="23.1">
      <c r="A43" s="9" t="s">
        <v>109</v>
      </c>
      <c r="B43" s="15" t="s">
        <v>110</v>
      </c>
      <c r="C43" s="11">
        <f>COUNTIF('02_Feature_List'!$O$5:$O$141,"*"&amp;$A43&amp;"*")</f>
        <v>25</v>
      </c>
      <c r="D43" s="10"/>
      <c r="E43" s="10"/>
      <c r="F43" s="10"/>
      <c r="G43" s="10"/>
      <c r="H43" s="10"/>
    </row>
    <row r="44" spans="1:8" ht="23.1">
      <c r="A44" s="9" t="s">
        <v>111</v>
      </c>
      <c r="B44" s="15" t="s">
        <v>112</v>
      </c>
      <c r="C44" s="11">
        <f>COUNTIF('02_Feature_List'!$O$5:$O$141,"*"&amp;$A44&amp;"*")</f>
        <v>19</v>
      </c>
      <c r="D44" s="10"/>
      <c r="E44" s="10"/>
      <c r="F44" s="10"/>
      <c r="G44" s="10"/>
      <c r="H44" s="10"/>
    </row>
    <row r="47" spans="1:8">
      <c r="A47" s="7" t="s">
        <v>113</v>
      </c>
    </row>
    <row r="48" spans="1:8" ht="31.5" customHeight="1">
      <c r="A48" s="8" t="s">
        <v>114</v>
      </c>
      <c r="B48" s="8" t="s">
        <v>42</v>
      </c>
      <c r="C48" s="8" t="s">
        <v>115</v>
      </c>
      <c r="D48" s="8"/>
      <c r="E48" s="8"/>
      <c r="F48" s="8"/>
      <c r="G48" s="8"/>
      <c r="H48" s="8"/>
    </row>
    <row r="49" spans="1:8">
      <c r="A49" s="13" t="s">
        <v>116</v>
      </c>
      <c r="B49" s="11">
        <f>COUNTIF('02_Feature_List'!$Q$5:$Q$141,$A49)</f>
        <v>137</v>
      </c>
      <c r="C49" s="16">
        <f>IFERROR(B49/SUM($B$49:$B$53),0)</f>
        <v>1</v>
      </c>
      <c r="D49" s="10"/>
      <c r="E49" s="10"/>
      <c r="F49" s="10"/>
      <c r="G49" s="10"/>
      <c r="H49" s="10"/>
    </row>
    <row r="50" spans="1:8">
      <c r="A50" s="13" t="s">
        <v>117</v>
      </c>
      <c r="B50" s="11">
        <f>COUNTIF('02_Feature_List'!$Q$5:$Q$141,$A50)</f>
        <v>0</v>
      </c>
      <c r="C50" s="16">
        <f>IFERROR(B50/SUM($B$49:$B$53),0)</f>
        <v>0</v>
      </c>
      <c r="D50" s="10"/>
      <c r="E50" s="10"/>
      <c r="F50" s="10"/>
      <c r="G50" s="10"/>
      <c r="H50" s="10"/>
    </row>
    <row r="51" spans="1:8">
      <c r="A51" s="13" t="s">
        <v>118</v>
      </c>
      <c r="B51" s="11">
        <f>COUNTIF('02_Feature_List'!$Q$5:$Q$141,$A51)</f>
        <v>0</v>
      </c>
      <c r="C51" s="16">
        <f>IFERROR(B51/SUM($B$49:$B$53),0)</f>
        <v>0</v>
      </c>
      <c r="D51" s="10"/>
      <c r="E51" s="10"/>
      <c r="F51" s="10"/>
      <c r="G51" s="10"/>
      <c r="H51" s="10"/>
    </row>
    <row r="52" spans="1:8">
      <c r="A52" s="13" t="s">
        <v>46</v>
      </c>
      <c r="B52" s="11">
        <f>COUNTIF('02_Feature_List'!$Q$5:$Q$141,$A52)</f>
        <v>0</v>
      </c>
      <c r="C52" s="16">
        <f>IFERROR(B52/SUM($B$49:$B$53),0)</f>
        <v>0</v>
      </c>
      <c r="D52" s="10"/>
      <c r="E52" s="10"/>
      <c r="F52" s="10"/>
      <c r="G52" s="10"/>
      <c r="H52" s="10"/>
    </row>
    <row r="53" spans="1:8">
      <c r="A53" s="13" t="s">
        <v>119</v>
      </c>
      <c r="B53" s="11">
        <f>COUNTIF('02_Feature_List'!$Q$5:$Q$141,$A53)</f>
        <v>0</v>
      </c>
      <c r="C53" s="16">
        <f>IFERROR(B53/SUM($B$49:$B$53),0)</f>
        <v>0</v>
      </c>
      <c r="D53" s="10"/>
      <c r="E53" s="10"/>
      <c r="F53" s="10"/>
      <c r="G53" s="10"/>
      <c r="H53" s="1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141"/>
  <sheetViews>
    <sheetView showGridLines="0" zoomScaleNormal="100" workbookViewId="0">
      <pane ySplit="4" topLeftCell="A5" activePane="bottomLeft" state="frozen"/>
      <selection pane="bottomLeft"/>
    </sheetView>
  </sheetViews>
  <sheetFormatPr defaultColWidth="8.7109375" defaultRowHeight="14.45"/>
  <cols>
    <col min="1" max="1" width="8" customWidth="1"/>
    <col min="2" max="2" width="7" customWidth="1"/>
    <col min="3" max="3" width="30" customWidth="1"/>
    <col min="4" max="4" width="58" customWidth="1"/>
    <col min="5" max="5" width="60" customWidth="1"/>
    <col min="6" max="6" width="68" customWidth="1"/>
    <col min="7" max="7" width="13" customWidth="1"/>
    <col min="8" max="8" width="17" customWidth="1"/>
    <col min="9" max="9" width="20" customWidth="1"/>
    <col min="10" max="10" width="9" customWidth="1"/>
    <col min="11" max="11" width="7" customWidth="1"/>
    <col min="12" max="12" width="8" customWidth="1"/>
    <col min="13" max="13" width="6" customWidth="1"/>
    <col min="14" max="14" width="26" customWidth="1"/>
    <col min="15" max="15" width="7" customWidth="1"/>
    <col min="16" max="16" width="24" customWidth="1"/>
    <col min="17" max="17" width="12" customWidth="1"/>
  </cols>
  <sheetData>
    <row r="1" spans="1:17" ht="25.5" customHeight="1">
      <c r="A1" s="1" t="s">
        <v>120</v>
      </c>
      <c r="B1" s="2"/>
      <c r="C1" s="2"/>
      <c r="D1" s="2"/>
      <c r="E1" s="2"/>
      <c r="F1" s="2"/>
      <c r="G1" s="2"/>
      <c r="H1" s="2"/>
      <c r="I1" s="2"/>
      <c r="J1" s="2"/>
      <c r="K1" s="2"/>
      <c r="L1" s="2"/>
      <c r="M1" s="2"/>
      <c r="N1" s="2"/>
      <c r="O1" s="2"/>
      <c r="P1" s="2"/>
      <c r="Q1" s="2"/>
    </row>
    <row r="2" spans="1:17" ht="15.75" customHeight="1">
      <c r="A2" s="3" t="s">
        <v>121</v>
      </c>
      <c r="B2" s="4"/>
      <c r="C2" s="4"/>
      <c r="D2" s="4"/>
      <c r="E2" s="4"/>
      <c r="F2" s="4"/>
      <c r="G2" s="4"/>
      <c r="H2" s="4"/>
      <c r="I2" s="4"/>
      <c r="J2" s="4"/>
      <c r="K2" s="4"/>
      <c r="L2" s="4"/>
      <c r="M2" s="4"/>
      <c r="N2" s="4"/>
      <c r="O2" s="4"/>
      <c r="P2" s="4"/>
      <c r="Q2" s="4"/>
    </row>
    <row r="4" spans="1:17" ht="31.5" customHeight="1">
      <c r="A4" s="8" t="s">
        <v>122</v>
      </c>
      <c r="B4" s="8" t="s">
        <v>40</v>
      </c>
      <c r="C4" s="8" t="s">
        <v>123</v>
      </c>
      <c r="D4" s="8" t="s">
        <v>124</v>
      </c>
      <c r="E4" s="8" t="s">
        <v>125</v>
      </c>
      <c r="F4" s="8" t="s">
        <v>126</v>
      </c>
      <c r="G4" s="8" t="s">
        <v>127</v>
      </c>
      <c r="H4" s="8" t="s">
        <v>128</v>
      </c>
      <c r="I4" s="8" t="s">
        <v>129</v>
      </c>
      <c r="J4" s="8" t="s">
        <v>130</v>
      </c>
      <c r="K4" s="8" t="s">
        <v>131</v>
      </c>
      <c r="L4" s="8" t="s">
        <v>82</v>
      </c>
      <c r="M4" s="8" t="s">
        <v>132</v>
      </c>
      <c r="N4" s="8" t="s">
        <v>133</v>
      </c>
      <c r="O4" s="8" t="s">
        <v>94</v>
      </c>
      <c r="P4" s="8" t="s">
        <v>134</v>
      </c>
      <c r="Q4" s="8" t="s">
        <v>114</v>
      </c>
    </row>
    <row r="5" spans="1:17" ht="23.1">
      <c r="A5" s="17" t="s">
        <v>135</v>
      </c>
      <c r="B5" s="18" t="s">
        <v>48</v>
      </c>
      <c r="C5" s="15" t="s">
        <v>136</v>
      </c>
      <c r="D5" s="15" t="s">
        <v>137</v>
      </c>
      <c r="E5" s="15" t="s">
        <v>138</v>
      </c>
      <c r="F5" s="15" t="s">
        <v>139</v>
      </c>
      <c r="G5" s="10" t="s">
        <v>140</v>
      </c>
      <c r="H5" s="10" t="s">
        <v>141</v>
      </c>
      <c r="I5" s="15" t="s">
        <v>142</v>
      </c>
      <c r="J5" s="19" t="s">
        <v>43</v>
      </c>
      <c r="K5" s="11" t="s">
        <v>143</v>
      </c>
      <c r="L5" s="11" t="s">
        <v>90</v>
      </c>
      <c r="M5" s="11">
        <v>1</v>
      </c>
      <c r="N5" s="15" t="s">
        <v>144</v>
      </c>
      <c r="O5" s="11" t="s">
        <v>97</v>
      </c>
      <c r="P5" s="15" t="s">
        <v>145</v>
      </c>
      <c r="Q5" s="20" t="s">
        <v>116</v>
      </c>
    </row>
    <row r="6" spans="1:17" ht="23.1">
      <c r="A6" s="17" t="s">
        <v>146</v>
      </c>
      <c r="B6" s="18" t="s">
        <v>48</v>
      </c>
      <c r="C6" s="15" t="s">
        <v>147</v>
      </c>
      <c r="D6" s="15" t="s">
        <v>148</v>
      </c>
      <c r="E6" s="15" t="s">
        <v>149</v>
      </c>
      <c r="F6" s="15" t="s">
        <v>150</v>
      </c>
      <c r="G6" s="10" t="s">
        <v>140</v>
      </c>
      <c r="H6" s="10" t="s">
        <v>151</v>
      </c>
      <c r="I6" s="15" t="s">
        <v>142</v>
      </c>
      <c r="J6" s="19" t="s">
        <v>43</v>
      </c>
      <c r="K6" s="11" t="s">
        <v>143</v>
      </c>
      <c r="L6" s="11" t="s">
        <v>90</v>
      </c>
      <c r="M6" s="11">
        <v>1</v>
      </c>
      <c r="N6" s="15" t="s">
        <v>152</v>
      </c>
      <c r="O6" s="11" t="s">
        <v>99</v>
      </c>
      <c r="P6" s="15" t="s">
        <v>153</v>
      </c>
      <c r="Q6" s="20" t="s">
        <v>116</v>
      </c>
    </row>
    <row r="7" spans="1:17" ht="23.1">
      <c r="A7" s="17" t="s">
        <v>154</v>
      </c>
      <c r="B7" s="18" t="s">
        <v>48</v>
      </c>
      <c r="C7" s="15" t="s">
        <v>155</v>
      </c>
      <c r="D7" s="15" t="s">
        <v>156</v>
      </c>
      <c r="E7" s="15" t="s">
        <v>157</v>
      </c>
      <c r="F7" s="15" t="s">
        <v>158</v>
      </c>
      <c r="G7" s="10" t="s">
        <v>140</v>
      </c>
      <c r="H7" s="10" t="s">
        <v>159</v>
      </c>
      <c r="I7" s="15" t="s">
        <v>142</v>
      </c>
      <c r="J7" s="19" t="s">
        <v>43</v>
      </c>
      <c r="K7" s="11" t="s">
        <v>143</v>
      </c>
      <c r="L7" s="11" t="s">
        <v>92</v>
      </c>
      <c r="M7" s="11">
        <v>1</v>
      </c>
      <c r="N7" s="15" t="s">
        <v>160</v>
      </c>
      <c r="O7" s="11" t="s">
        <v>142</v>
      </c>
      <c r="P7" s="15" t="s">
        <v>161</v>
      </c>
      <c r="Q7" s="20" t="s">
        <v>116</v>
      </c>
    </row>
    <row r="8" spans="1:17" ht="23.1">
      <c r="A8" s="17" t="s">
        <v>162</v>
      </c>
      <c r="B8" s="18" t="s">
        <v>48</v>
      </c>
      <c r="C8" s="15" t="s">
        <v>163</v>
      </c>
      <c r="D8" s="15" t="s">
        <v>164</v>
      </c>
      <c r="E8" s="15" t="s">
        <v>165</v>
      </c>
      <c r="F8" s="15" t="s">
        <v>166</v>
      </c>
      <c r="G8" s="10" t="s">
        <v>140</v>
      </c>
      <c r="H8" s="10" t="s">
        <v>167</v>
      </c>
      <c r="I8" s="15" t="s">
        <v>142</v>
      </c>
      <c r="J8" s="19" t="s">
        <v>43</v>
      </c>
      <c r="K8" s="11" t="s">
        <v>143</v>
      </c>
      <c r="L8" s="11" t="s">
        <v>92</v>
      </c>
      <c r="M8" s="11">
        <v>1</v>
      </c>
      <c r="N8" s="15" t="s">
        <v>168</v>
      </c>
      <c r="O8" s="11" t="s">
        <v>142</v>
      </c>
      <c r="P8" s="15" t="s">
        <v>169</v>
      </c>
      <c r="Q8" s="20" t="s">
        <v>116</v>
      </c>
    </row>
    <row r="9" spans="1:17" ht="23.1">
      <c r="A9" s="17" t="s">
        <v>170</v>
      </c>
      <c r="B9" s="18" t="s">
        <v>48</v>
      </c>
      <c r="C9" s="15" t="s">
        <v>171</v>
      </c>
      <c r="D9" s="15" t="s">
        <v>172</v>
      </c>
      <c r="E9" s="15" t="s">
        <v>173</v>
      </c>
      <c r="F9" s="15" t="s">
        <v>174</v>
      </c>
      <c r="G9" s="10" t="s">
        <v>140</v>
      </c>
      <c r="H9" s="10" t="s">
        <v>175</v>
      </c>
      <c r="I9" s="15" t="s">
        <v>176</v>
      </c>
      <c r="J9" s="19" t="s">
        <v>43</v>
      </c>
      <c r="K9" s="11" t="s">
        <v>143</v>
      </c>
      <c r="L9" s="11" t="s">
        <v>90</v>
      </c>
      <c r="M9" s="11">
        <v>1</v>
      </c>
      <c r="N9" s="15" t="s">
        <v>177</v>
      </c>
      <c r="O9" s="11" t="s">
        <v>97</v>
      </c>
      <c r="P9" s="15" t="s">
        <v>178</v>
      </c>
      <c r="Q9" s="20" t="s">
        <v>116</v>
      </c>
    </row>
    <row r="10" spans="1:17" ht="23.1">
      <c r="A10" s="17" t="s">
        <v>179</v>
      </c>
      <c r="B10" s="18" t="s">
        <v>48</v>
      </c>
      <c r="C10" s="15" t="s">
        <v>180</v>
      </c>
      <c r="D10" s="15" t="s">
        <v>181</v>
      </c>
      <c r="E10" s="15" t="s">
        <v>182</v>
      </c>
      <c r="F10" s="15" t="s">
        <v>183</v>
      </c>
      <c r="G10" s="10" t="s">
        <v>184</v>
      </c>
      <c r="H10" s="10" t="s">
        <v>185</v>
      </c>
      <c r="I10" s="15" t="s">
        <v>142</v>
      </c>
      <c r="J10" s="19" t="s">
        <v>43</v>
      </c>
      <c r="K10" s="11" t="s">
        <v>143</v>
      </c>
      <c r="L10" s="11" t="s">
        <v>92</v>
      </c>
      <c r="M10" s="11">
        <v>1</v>
      </c>
      <c r="N10" s="15" t="s">
        <v>186</v>
      </c>
      <c r="O10" s="11" t="s">
        <v>187</v>
      </c>
      <c r="P10" s="15" t="s">
        <v>188</v>
      </c>
      <c r="Q10" s="20" t="s">
        <v>116</v>
      </c>
    </row>
    <row r="11" spans="1:17" ht="23.1">
      <c r="A11" s="17" t="s">
        <v>189</v>
      </c>
      <c r="B11" s="18" t="s">
        <v>48</v>
      </c>
      <c r="C11" s="15" t="s">
        <v>190</v>
      </c>
      <c r="D11" s="15" t="s">
        <v>191</v>
      </c>
      <c r="E11" s="15" t="s">
        <v>192</v>
      </c>
      <c r="F11" s="15" t="s">
        <v>193</v>
      </c>
      <c r="G11" s="10" t="s">
        <v>140</v>
      </c>
      <c r="H11" s="10" t="s">
        <v>194</v>
      </c>
      <c r="I11" s="15" t="s">
        <v>142</v>
      </c>
      <c r="J11" s="19" t="s">
        <v>43</v>
      </c>
      <c r="K11" s="11" t="s">
        <v>143</v>
      </c>
      <c r="L11" s="11" t="s">
        <v>92</v>
      </c>
      <c r="M11" s="11">
        <v>1</v>
      </c>
      <c r="N11" s="15" t="s">
        <v>195</v>
      </c>
      <c r="O11" s="11" t="s">
        <v>142</v>
      </c>
      <c r="P11" s="15" t="s">
        <v>161</v>
      </c>
      <c r="Q11" s="20" t="s">
        <v>116</v>
      </c>
    </row>
    <row r="12" spans="1:17" ht="23.1" hidden="1">
      <c r="A12" s="17" t="s">
        <v>196</v>
      </c>
      <c r="B12" s="18" t="s">
        <v>48</v>
      </c>
      <c r="C12" s="15" t="s">
        <v>197</v>
      </c>
      <c r="D12" s="15" t="s">
        <v>198</v>
      </c>
      <c r="E12" s="15" t="s">
        <v>199</v>
      </c>
      <c r="F12" s="15" t="s">
        <v>200</v>
      </c>
      <c r="G12" s="10" t="s">
        <v>140</v>
      </c>
      <c r="H12" s="10" t="s">
        <v>201</v>
      </c>
      <c r="I12" s="15" t="s">
        <v>142</v>
      </c>
      <c r="J12" s="19" t="s">
        <v>43</v>
      </c>
      <c r="K12" s="11" t="s">
        <v>143</v>
      </c>
      <c r="L12" s="11" t="s">
        <v>90</v>
      </c>
      <c r="M12" s="11">
        <v>4</v>
      </c>
      <c r="N12" s="15" t="s">
        <v>202</v>
      </c>
      <c r="O12" s="11" t="s">
        <v>142</v>
      </c>
      <c r="P12" s="15" t="s">
        <v>203</v>
      </c>
      <c r="Q12" s="20" t="s">
        <v>116</v>
      </c>
    </row>
    <row r="13" spans="1:17" ht="23.1" hidden="1">
      <c r="A13" s="17" t="s">
        <v>204</v>
      </c>
      <c r="B13" s="18" t="s">
        <v>48</v>
      </c>
      <c r="C13" s="15" t="s">
        <v>205</v>
      </c>
      <c r="D13" s="15" t="s">
        <v>206</v>
      </c>
      <c r="E13" s="15" t="s">
        <v>207</v>
      </c>
      <c r="F13" s="15" t="s">
        <v>208</v>
      </c>
      <c r="G13" s="10" t="s">
        <v>140</v>
      </c>
      <c r="H13" s="10" t="s">
        <v>209</v>
      </c>
      <c r="I13" s="15" t="s">
        <v>142</v>
      </c>
      <c r="J13" s="21" t="s">
        <v>44</v>
      </c>
      <c r="K13" s="11" t="s">
        <v>143</v>
      </c>
      <c r="L13" s="11" t="s">
        <v>90</v>
      </c>
      <c r="M13" s="11">
        <v>4</v>
      </c>
      <c r="N13" s="15" t="s">
        <v>210</v>
      </c>
      <c r="O13" s="11" t="s">
        <v>142</v>
      </c>
      <c r="P13" s="15" t="s">
        <v>211</v>
      </c>
      <c r="Q13" s="20" t="s">
        <v>116</v>
      </c>
    </row>
    <row r="14" spans="1:17" ht="23.1">
      <c r="A14" s="22" t="s">
        <v>212</v>
      </c>
      <c r="B14" s="23" t="s">
        <v>50</v>
      </c>
      <c r="C14" s="15" t="s">
        <v>213</v>
      </c>
      <c r="D14" s="15" t="s">
        <v>214</v>
      </c>
      <c r="E14" s="15" t="s">
        <v>215</v>
      </c>
      <c r="F14" s="15" t="s">
        <v>216</v>
      </c>
      <c r="G14" s="10" t="s">
        <v>217</v>
      </c>
      <c r="H14" s="10" t="s">
        <v>218</v>
      </c>
      <c r="I14" s="15" t="s">
        <v>219</v>
      </c>
      <c r="J14" s="19" t="s">
        <v>43</v>
      </c>
      <c r="K14" s="11" t="s">
        <v>143</v>
      </c>
      <c r="L14" s="11" t="s">
        <v>90</v>
      </c>
      <c r="M14" s="11">
        <v>1</v>
      </c>
      <c r="N14" s="15" t="s">
        <v>220</v>
      </c>
      <c r="O14" s="11" t="s">
        <v>97</v>
      </c>
      <c r="P14" s="15" t="s">
        <v>221</v>
      </c>
      <c r="Q14" s="20" t="s">
        <v>116</v>
      </c>
    </row>
    <row r="15" spans="1:17" ht="23.1">
      <c r="A15" s="22" t="s">
        <v>222</v>
      </c>
      <c r="B15" s="23" t="s">
        <v>50</v>
      </c>
      <c r="C15" s="15" t="s">
        <v>223</v>
      </c>
      <c r="D15" s="15" t="s">
        <v>224</v>
      </c>
      <c r="E15" s="15" t="s">
        <v>225</v>
      </c>
      <c r="F15" s="15" t="s">
        <v>226</v>
      </c>
      <c r="G15" s="10" t="s">
        <v>217</v>
      </c>
      <c r="H15" s="10" t="s">
        <v>227</v>
      </c>
      <c r="I15" s="15" t="s">
        <v>228</v>
      </c>
      <c r="J15" s="19" t="s">
        <v>43</v>
      </c>
      <c r="K15" s="11" t="s">
        <v>143</v>
      </c>
      <c r="L15" s="11" t="s">
        <v>92</v>
      </c>
      <c r="M15" s="11">
        <v>1</v>
      </c>
      <c r="N15" s="15" t="s">
        <v>229</v>
      </c>
      <c r="O15" s="11" t="s">
        <v>230</v>
      </c>
      <c r="P15" s="15" t="s">
        <v>231</v>
      </c>
      <c r="Q15" s="20" t="s">
        <v>116</v>
      </c>
    </row>
    <row r="16" spans="1:17" ht="23.1">
      <c r="A16" s="22" t="s">
        <v>232</v>
      </c>
      <c r="B16" s="23" t="s">
        <v>50</v>
      </c>
      <c r="C16" s="15" t="s">
        <v>233</v>
      </c>
      <c r="D16" s="15" t="s">
        <v>234</v>
      </c>
      <c r="E16" s="15" t="s">
        <v>235</v>
      </c>
      <c r="F16" s="15" t="s">
        <v>236</v>
      </c>
      <c r="G16" s="10" t="s">
        <v>217</v>
      </c>
      <c r="H16" s="10" t="s">
        <v>237</v>
      </c>
      <c r="I16" s="15" t="s">
        <v>238</v>
      </c>
      <c r="J16" s="19" t="s">
        <v>43</v>
      </c>
      <c r="K16" s="11" t="s">
        <v>143</v>
      </c>
      <c r="L16" s="11" t="s">
        <v>90</v>
      </c>
      <c r="M16" s="11">
        <v>1</v>
      </c>
      <c r="N16" s="15" t="s">
        <v>239</v>
      </c>
      <c r="O16" s="11" t="s">
        <v>97</v>
      </c>
      <c r="P16" s="15" t="s">
        <v>240</v>
      </c>
      <c r="Q16" s="20" t="s">
        <v>116</v>
      </c>
    </row>
    <row r="17" spans="1:17" ht="34.5">
      <c r="A17" s="22" t="s">
        <v>241</v>
      </c>
      <c r="B17" s="23" t="s">
        <v>50</v>
      </c>
      <c r="C17" s="15" t="s">
        <v>242</v>
      </c>
      <c r="D17" s="15" t="s">
        <v>243</v>
      </c>
      <c r="E17" s="15" t="s">
        <v>244</v>
      </c>
      <c r="F17" s="15" t="s">
        <v>245</v>
      </c>
      <c r="G17" s="10" t="s">
        <v>217</v>
      </c>
      <c r="H17" s="10" t="s">
        <v>246</v>
      </c>
      <c r="I17" s="15" t="s">
        <v>247</v>
      </c>
      <c r="J17" s="19" t="s">
        <v>43</v>
      </c>
      <c r="K17" s="11" t="s">
        <v>143</v>
      </c>
      <c r="L17" s="11" t="s">
        <v>90</v>
      </c>
      <c r="M17" s="11">
        <v>1</v>
      </c>
      <c r="N17" s="15" t="s">
        <v>248</v>
      </c>
      <c r="O17" s="11" t="s">
        <v>97</v>
      </c>
      <c r="P17" s="15" t="s">
        <v>249</v>
      </c>
      <c r="Q17" s="20" t="s">
        <v>116</v>
      </c>
    </row>
    <row r="18" spans="1:17" ht="23.1">
      <c r="A18" s="22" t="s">
        <v>250</v>
      </c>
      <c r="B18" s="23" t="s">
        <v>50</v>
      </c>
      <c r="C18" s="15" t="s">
        <v>251</v>
      </c>
      <c r="D18" s="15" t="s">
        <v>252</v>
      </c>
      <c r="E18" s="15" t="s">
        <v>253</v>
      </c>
      <c r="F18" s="15" t="s">
        <v>254</v>
      </c>
      <c r="G18" s="10" t="s">
        <v>217</v>
      </c>
      <c r="H18" s="10" t="s">
        <v>255</v>
      </c>
      <c r="I18" s="15" t="s">
        <v>256</v>
      </c>
      <c r="J18" s="19" t="s">
        <v>43</v>
      </c>
      <c r="K18" s="11" t="s">
        <v>143</v>
      </c>
      <c r="L18" s="11" t="s">
        <v>87</v>
      </c>
      <c r="M18" s="11">
        <v>1</v>
      </c>
      <c r="N18" s="15" t="s">
        <v>257</v>
      </c>
      <c r="O18" s="11" t="s">
        <v>103</v>
      </c>
      <c r="P18" s="15" t="s">
        <v>258</v>
      </c>
      <c r="Q18" s="20" t="s">
        <v>116</v>
      </c>
    </row>
    <row r="19" spans="1:17" ht="23.1" hidden="1">
      <c r="A19" s="22" t="s">
        <v>259</v>
      </c>
      <c r="B19" s="23" t="s">
        <v>50</v>
      </c>
      <c r="C19" s="15" t="s">
        <v>260</v>
      </c>
      <c r="D19" s="15" t="s">
        <v>261</v>
      </c>
      <c r="E19" s="15" t="s">
        <v>262</v>
      </c>
      <c r="F19" s="15" t="s">
        <v>263</v>
      </c>
      <c r="G19" s="10" t="s">
        <v>217</v>
      </c>
      <c r="H19" s="10" t="s">
        <v>264</v>
      </c>
      <c r="I19" s="15" t="s">
        <v>256</v>
      </c>
      <c r="J19" s="19" t="s">
        <v>43</v>
      </c>
      <c r="K19" s="11" t="s">
        <v>143</v>
      </c>
      <c r="L19" s="11" t="s">
        <v>90</v>
      </c>
      <c r="M19" s="11">
        <v>2</v>
      </c>
      <c r="N19" s="15" t="s">
        <v>265</v>
      </c>
      <c r="O19" s="11" t="s">
        <v>266</v>
      </c>
      <c r="P19" s="15" t="s">
        <v>267</v>
      </c>
      <c r="Q19" s="20" t="s">
        <v>116</v>
      </c>
    </row>
    <row r="20" spans="1:17" ht="23.1" hidden="1">
      <c r="A20" s="22" t="s">
        <v>268</v>
      </c>
      <c r="B20" s="23" t="s">
        <v>50</v>
      </c>
      <c r="C20" s="15" t="s">
        <v>269</v>
      </c>
      <c r="D20" s="15" t="s">
        <v>270</v>
      </c>
      <c r="E20" s="15" t="s">
        <v>271</v>
      </c>
      <c r="F20" s="15" t="s">
        <v>272</v>
      </c>
      <c r="G20" s="10" t="s">
        <v>217</v>
      </c>
      <c r="H20" s="10" t="s">
        <v>273</v>
      </c>
      <c r="I20" s="15" t="s">
        <v>259</v>
      </c>
      <c r="J20" s="19" t="s">
        <v>43</v>
      </c>
      <c r="K20" s="11" t="s">
        <v>143</v>
      </c>
      <c r="L20" s="11" t="s">
        <v>90</v>
      </c>
      <c r="M20" s="11">
        <v>2</v>
      </c>
      <c r="N20" s="15" t="s">
        <v>274</v>
      </c>
      <c r="O20" s="11" t="s">
        <v>266</v>
      </c>
      <c r="P20" s="15" t="s">
        <v>275</v>
      </c>
      <c r="Q20" s="20" t="s">
        <v>116</v>
      </c>
    </row>
    <row r="21" spans="1:17" ht="23.1" hidden="1">
      <c r="A21" s="22" t="s">
        <v>276</v>
      </c>
      <c r="B21" s="23" t="s">
        <v>50</v>
      </c>
      <c r="C21" s="15" t="s">
        <v>277</v>
      </c>
      <c r="D21" s="15" t="s">
        <v>278</v>
      </c>
      <c r="E21" s="15" t="s">
        <v>279</v>
      </c>
      <c r="F21" s="15" t="s">
        <v>280</v>
      </c>
      <c r="G21" s="10" t="s">
        <v>217</v>
      </c>
      <c r="H21" s="10" t="s">
        <v>281</v>
      </c>
      <c r="I21" s="15" t="s">
        <v>282</v>
      </c>
      <c r="J21" s="21" t="s">
        <v>44</v>
      </c>
      <c r="K21" s="11" t="s">
        <v>143</v>
      </c>
      <c r="L21" s="11" t="s">
        <v>90</v>
      </c>
      <c r="M21" s="11">
        <v>3</v>
      </c>
      <c r="N21" s="15" t="s">
        <v>283</v>
      </c>
      <c r="O21" s="11" t="s">
        <v>284</v>
      </c>
      <c r="P21" s="15" t="s">
        <v>285</v>
      </c>
      <c r="Q21" s="20" t="s">
        <v>116</v>
      </c>
    </row>
    <row r="22" spans="1:17" ht="23.1" hidden="1">
      <c r="A22" s="22" t="s">
        <v>286</v>
      </c>
      <c r="B22" s="23" t="s">
        <v>50</v>
      </c>
      <c r="C22" s="15" t="s">
        <v>287</v>
      </c>
      <c r="D22" s="15" t="s">
        <v>288</v>
      </c>
      <c r="E22" s="15" t="s">
        <v>289</v>
      </c>
      <c r="F22" s="15" t="s">
        <v>290</v>
      </c>
      <c r="G22" s="10" t="s">
        <v>217</v>
      </c>
      <c r="H22" s="10" t="s">
        <v>291</v>
      </c>
      <c r="I22" s="15" t="s">
        <v>292</v>
      </c>
      <c r="J22" s="21" t="s">
        <v>44</v>
      </c>
      <c r="K22" s="11" t="s">
        <v>143</v>
      </c>
      <c r="L22" s="11" t="s">
        <v>90</v>
      </c>
      <c r="M22" s="11">
        <v>3</v>
      </c>
      <c r="N22" s="15" t="s">
        <v>293</v>
      </c>
      <c r="O22" s="11" t="s">
        <v>105</v>
      </c>
      <c r="P22" s="15" t="s">
        <v>294</v>
      </c>
      <c r="Q22" s="20" t="s">
        <v>116</v>
      </c>
    </row>
    <row r="23" spans="1:17" ht="23.1" hidden="1">
      <c r="A23" s="22" t="s">
        <v>295</v>
      </c>
      <c r="B23" s="23" t="s">
        <v>50</v>
      </c>
      <c r="C23" s="15" t="s">
        <v>296</v>
      </c>
      <c r="D23" s="15" t="s">
        <v>297</v>
      </c>
      <c r="E23" s="15" t="s">
        <v>298</v>
      </c>
      <c r="F23" s="15" t="s">
        <v>299</v>
      </c>
      <c r="G23" s="10" t="s">
        <v>217</v>
      </c>
      <c r="H23" s="10" t="s">
        <v>300</v>
      </c>
      <c r="I23" s="15" t="s">
        <v>301</v>
      </c>
      <c r="J23" s="19" t="s">
        <v>43</v>
      </c>
      <c r="K23" s="11" t="s">
        <v>143</v>
      </c>
      <c r="L23" s="11" t="s">
        <v>90</v>
      </c>
      <c r="M23" s="11">
        <v>3</v>
      </c>
      <c r="N23" s="15" t="s">
        <v>302</v>
      </c>
      <c r="O23" s="11" t="s">
        <v>303</v>
      </c>
      <c r="P23" s="15" t="s">
        <v>304</v>
      </c>
      <c r="Q23" s="20" t="s">
        <v>116</v>
      </c>
    </row>
    <row r="24" spans="1:17" ht="23.1" hidden="1">
      <c r="A24" s="22" t="s">
        <v>305</v>
      </c>
      <c r="B24" s="23" t="s">
        <v>50</v>
      </c>
      <c r="C24" s="15" t="s">
        <v>306</v>
      </c>
      <c r="D24" s="15" t="s">
        <v>307</v>
      </c>
      <c r="E24" s="15" t="s">
        <v>308</v>
      </c>
      <c r="F24" s="15" t="s">
        <v>309</v>
      </c>
      <c r="G24" s="10" t="s">
        <v>217</v>
      </c>
      <c r="H24" s="10" t="s">
        <v>310</v>
      </c>
      <c r="I24" s="15" t="s">
        <v>311</v>
      </c>
      <c r="J24" s="19" t="s">
        <v>43</v>
      </c>
      <c r="K24" s="11" t="s">
        <v>143</v>
      </c>
      <c r="L24" s="11" t="s">
        <v>90</v>
      </c>
      <c r="M24" s="11">
        <v>3</v>
      </c>
      <c r="N24" s="15" t="s">
        <v>312</v>
      </c>
      <c r="O24" s="11" t="s">
        <v>97</v>
      </c>
      <c r="P24" s="15" t="s">
        <v>313</v>
      </c>
      <c r="Q24" s="20" t="s">
        <v>116</v>
      </c>
    </row>
    <row r="25" spans="1:17" ht="23.1" hidden="1">
      <c r="A25" s="22" t="s">
        <v>314</v>
      </c>
      <c r="B25" s="23" t="s">
        <v>50</v>
      </c>
      <c r="C25" s="15" t="s">
        <v>315</v>
      </c>
      <c r="D25" s="15" t="s">
        <v>316</v>
      </c>
      <c r="E25" s="15" t="s">
        <v>317</v>
      </c>
      <c r="F25" s="15" t="s">
        <v>318</v>
      </c>
      <c r="G25" s="10" t="s">
        <v>217</v>
      </c>
      <c r="H25" s="10" t="s">
        <v>319</v>
      </c>
      <c r="I25" s="15" t="s">
        <v>320</v>
      </c>
      <c r="J25" s="19" t="s">
        <v>43</v>
      </c>
      <c r="K25" s="11" t="s">
        <v>143</v>
      </c>
      <c r="L25" s="11" t="s">
        <v>90</v>
      </c>
      <c r="M25" s="11">
        <v>3</v>
      </c>
      <c r="N25" s="15" t="s">
        <v>321</v>
      </c>
      <c r="O25" s="11" t="s">
        <v>97</v>
      </c>
      <c r="P25" s="15" t="s">
        <v>322</v>
      </c>
      <c r="Q25" s="20" t="s">
        <v>116</v>
      </c>
    </row>
    <row r="26" spans="1:17" ht="23.1" hidden="1">
      <c r="A26" s="22" t="s">
        <v>323</v>
      </c>
      <c r="B26" s="23" t="s">
        <v>50</v>
      </c>
      <c r="C26" s="15" t="s">
        <v>324</v>
      </c>
      <c r="D26" s="15" t="s">
        <v>325</v>
      </c>
      <c r="E26" s="15" t="s">
        <v>326</v>
      </c>
      <c r="F26" s="15" t="s">
        <v>327</v>
      </c>
      <c r="G26" s="10" t="s">
        <v>217</v>
      </c>
      <c r="H26" s="10" t="s">
        <v>328</v>
      </c>
      <c r="I26" s="15" t="s">
        <v>329</v>
      </c>
      <c r="J26" s="19" t="s">
        <v>43</v>
      </c>
      <c r="K26" s="11" t="s">
        <v>143</v>
      </c>
      <c r="L26" s="11" t="s">
        <v>89</v>
      </c>
      <c r="M26" s="11">
        <v>3</v>
      </c>
      <c r="N26" s="15" t="s">
        <v>330</v>
      </c>
      <c r="O26" s="11" t="s">
        <v>97</v>
      </c>
      <c r="P26" s="15" t="s">
        <v>331</v>
      </c>
      <c r="Q26" s="20" t="s">
        <v>116</v>
      </c>
    </row>
    <row r="27" spans="1:17" ht="23.1">
      <c r="A27" s="22" t="s">
        <v>332</v>
      </c>
      <c r="B27" s="23" t="s">
        <v>50</v>
      </c>
      <c r="C27" s="15" t="s">
        <v>333</v>
      </c>
      <c r="D27" s="15" t="s">
        <v>334</v>
      </c>
      <c r="E27" s="15" t="s">
        <v>335</v>
      </c>
      <c r="F27" s="15" t="s">
        <v>336</v>
      </c>
      <c r="G27" s="10" t="s">
        <v>217</v>
      </c>
      <c r="H27" s="10" t="s">
        <v>337</v>
      </c>
      <c r="I27" s="15" t="s">
        <v>338</v>
      </c>
      <c r="J27" s="21" t="s">
        <v>44</v>
      </c>
      <c r="K27" s="11" t="s">
        <v>143</v>
      </c>
      <c r="L27" s="11" t="s">
        <v>90</v>
      </c>
      <c r="M27" s="11">
        <v>1</v>
      </c>
      <c r="N27" s="15" t="s">
        <v>339</v>
      </c>
      <c r="O27" s="11" t="s">
        <v>142</v>
      </c>
      <c r="P27" s="15" t="s">
        <v>340</v>
      </c>
      <c r="Q27" s="20" t="s">
        <v>116</v>
      </c>
    </row>
    <row r="28" spans="1:17" ht="23.1">
      <c r="A28" s="24" t="s">
        <v>341</v>
      </c>
      <c r="B28" s="25" t="s">
        <v>52</v>
      </c>
      <c r="C28" s="15" t="s">
        <v>342</v>
      </c>
      <c r="D28" s="15" t="s">
        <v>343</v>
      </c>
      <c r="E28" s="15" t="s">
        <v>344</v>
      </c>
      <c r="F28" s="15" t="s">
        <v>345</v>
      </c>
      <c r="G28" s="10" t="s">
        <v>346</v>
      </c>
      <c r="H28" s="10" t="s">
        <v>347</v>
      </c>
      <c r="I28" s="15" t="s">
        <v>142</v>
      </c>
      <c r="J28" s="19" t="s">
        <v>43</v>
      </c>
      <c r="K28" s="11" t="s">
        <v>143</v>
      </c>
      <c r="L28" s="11" t="s">
        <v>91</v>
      </c>
      <c r="M28" s="11">
        <v>1</v>
      </c>
      <c r="N28" s="15" t="s">
        <v>348</v>
      </c>
      <c r="O28" s="11" t="s">
        <v>349</v>
      </c>
      <c r="P28" s="15" t="s">
        <v>350</v>
      </c>
      <c r="Q28" s="20" t="s">
        <v>116</v>
      </c>
    </row>
    <row r="29" spans="1:17" ht="23.1">
      <c r="A29" s="24" t="s">
        <v>351</v>
      </c>
      <c r="B29" s="25" t="s">
        <v>52</v>
      </c>
      <c r="C29" s="15" t="s">
        <v>352</v>
      </c>
      <c r="D29" s="15" t="s">
        <v>353</v>
      </c>
      <c r="E29" s="15" t="s">
        <v>354</v>
      </c>
      <c r="F29" s="15" t="s">
        <v>355</v>
      </c>
      <c r="G29" s="10" t="s">
        <v>346</v>
      </c>
      <c r="H29" s="10" t="s">
        <v>356</v>
      </c>
      <c r="I29" s="15" t="s">
        <v>142</v>
      </c>
      <c r="J29" s="19" t="s">
        <v>43</v>
      </c>
      <c r="K29" s="11" t="s">
        <v>143</v>
      </c>
      <c r="L29" s="11" t="s">
        <v>91</v>
      </c>
      <c r="M29" s="11">
        <v>1</v>
      </c>
      <c r="N29" s="15" t="s">
        <v>357</v>
      </c>
      <c r="O29" s="11" t="s">
        <v>101</v>
      </c>
      <c r="P29" s="15" t="s">
        <v>350</v>
      </c>
      <c r="Q29" s="20" t="s">
        <v>116</v>
      </c>
    </row>
    <row r="30" spans="1:17" ht="23.1">
      <c r="A30" s="24" t="s">
        <v>358</v>
      </c>
      <c r="B30" s="25" t="s">
        <v>52</v>
      </c>
      <c r="C30" s="15" t="s">
        <v>359</v>
      </c>
      <c r="D30" s="15" t="s">
        <v>360</v>
      </c>
      <c r="E30" s="15" t="s">
        <v>361</v>
      </c>
      <c r="F30" s="15" t="s">
        <v>362</v>
      </c>
      <c r="G30" s="10" t="s">
        <v>346</v>
      </c>
      <c r="H30" s="10" t="s">
        <v>363</v>
      </c>
      <c r="I30" s="15" t="s">
        <v>142</v>
      </c>
      <c r="J30" s="19" t="s">
        <v>43</v>
      </c>
      <c r="K30" s="11" t="s">
        <v>143</v>
      </c>
      <c r="L30" s="11" t="s">
        <v>91</v>
      </c>
      <c r="M30" s="11">
        <v>1</v>
      </c>
      <c r="N30" s="15" t="s">
        <v>364</v>
      </c>
      <c r="O30" s="11" t="s">
        <v>365</v>
      </c>
      <c r="P30" s="15" t="s">
        <v>350</v>
      </c>
      <c r="Q30" s="20" t="s">
        <v>116</v>
      </c>
    </row>
    <row r="31" spans="1:17" ht="23.1">
      <c r="A31" s="24" t="s">
        <v>366</v>
      </c>
      <c r="B31" s="25" t="s">
        <v>52</v>
      </c>
      <c r="C31" s="15" t="s">
        <v>367</v>
      </c>
      <c r="D31" s="15" t="s">
        <v>368</v>
      </c>
      <c r="E31" s="15" t="s">
        <v>369</v>
      </c>
      <c r="F31" s="15" t="s">
        <v>370</v>
      </c>
      <c r="G31" s="10" t="s">
        <v>346</v>
      </c>
      <c r="H31" s="10" t="s">
        <v>371</v>
      </c>
      <c r="I31" s="15" t="s">
        <v>142</v>
      </c>
      <c r="J31" s="19" t="s">
        <v>43</v>
      </c>
      <c r="K31" s="11" t="s">
        <v>143</v>
      </c>
      <c r="L31" s="11" t="s">
        <v>91</v>
      </c>
      <c r="M31" s="11">
        <v>1</v>
      </c>
      <c r="N31" s="15" t="s">
        <v>372</v>
      </c>
      <c r="O31" s="11" t="s">
        <v>373</v>
      </c>
      <c r="P31" s="15" t="s">
        <v>350</v>
      </c>
      <c r="Q31" s="20" t="s">
        <v>116</v>
      </c>
    </row>
    <row r="32" spans="1:17" ht="23.1">
      <c r="A32" s="24" t="s">
        <v>374</v>
      </c>
      <c r="B32" s="25" t="s">
        <v>52</v>
      </c>
      <c r="C32" s="15" t="s">
        <v>375</v>
      </c>
      <c r="D32" s="15" t="s">
        <v>376</v>
      </c>
      <c r="E32" s="15" t="s">
        <v>377</v>
      </c>
      <c r="F32" s="15" t="s">
        <v>378</v>
      </c>
      <c r="G32" s="10" t="s">
        <v>346</v>
      </c>
      <c r="H32" s="10" t="s">
        <v>379</v>
      </c>
      <c r="I32" s="15" t="s">
        <v>380</v>
      </c>
      <c r="J32" s="19" t="s">
        <v>43</v>
      </c>
      <c r="K32" s="11" t="s">
        <v>143</v>
      </c>
      <c r="L32" s="11" t="s">
        <v>91</v>
      </c>
      <c r="M32" s="11">
        <v>1</v>
      </c>
      <c r="N32" s="15" t="s">
        <v>381</v>
      </c>
      <c r="O32" s="11" t="s">
        <v>101</v>
      </c>
      <c r="P32" s="15" t="s">
        <v>382</v>
      </c>
      <c r="Q32" s="20" t="s">
        <v>116</v>
      </c>
    </row>
    <row r="33" spans="1:17" ht="23.1">
      <c r="A33" s="24" t="s">
        <v>383</v>
      </c>
      <c r="B33" s="25" t="s">
        <v>52</v>
      </c>
      <c r="C33" s="15" t="s">
        <v>384</v>
      </c>
      <c r="D33" s="15" t="s">
        <v>385</v>
      </c>
      <c r="E33" s="15" t="s">
        <v>386</v>
      </c>
      <c r="F33" s="15" t="s">
        <v>387</v>
      </c>
      <c r="G33" s="10" t="s">
        <v>346</v>
      </c>
      <c r="H33" s="10" t="s">
        <v>388</v>
      </c>
      <c r="I33" s="15" t="s">
        <v>142</v>
      </c>
      <c r="J33" s="21" t="s">
        <v>44</v>
      </c>
      <c r="K33" s="11" t="s">
        <v>143</v>
      </c>
      <c r="L33" s="11" t="s">
        <v>91</v>
      </c>
      <c r="M33" s="11">
        <v>1</v>
      </c>
      <c r="N33" s="15" t="s">
        <v>389</v>
      </c>
      <c r="O33" s="11" t="s">
        <v>101</v>
      </c>
      <c r="P33" s="15" t="s">
        <v>390</v>
      </c>
      <c r="Q33" s="20" t="s">
        <v>116</v>
      </c>
    </row>
    <row r="34" spans="1:17" ht="23.1">
      <c r="A34" s="24" t="s">
        <v>391</v>
      </c>
      <c r="B34" s="25" t="s">
        <v>52</v>
      </c>
      <c r="C34" s="15" t="s">
        <v>338</v>
      </c>
      <c r="D34" s="15" t="s">
        <v>392</v>
      </c>
      <c r="E34" s="15" t="s">
        <v>393</v>
      </c>
      <c r="F34" s="15" t="s">
        <v>394</v>
      </c>
      <c r="G34" s="10" t="s">
        <v>346</v>
      </c>
      <c r="H34" s="10" t="s">
        <v>395</v>
      </c>
      <c r="I34" s="15" t="s">
        <v>142</v>
      </c>
      <c r="J34" s="19" t="s">
        <v>43</v>
      </c>
      <c r="K34" s="11" t="s">
        <v>143</v>
      </c>
      <c r="L34" s="11" t="s">
        <v>90</v>
      </c>
      <c r="M34" s="11">
        <v>1</v>
      </c>
      <c r="N34" s="15" t="s">
        <v>396</v>
      </c>
      <c r="O34" s="11" t="s">
        <v>142</v>
      </c>
      <c r="P34" s="15" t="s">
        <v>340</v>
      </c>
      <c r="Q34" s="20" t="s">
        <v>116</v>
      </c>
    </row>
    <row r="35" spans="1:17" ht="23.1">
      <c r="A35" s="24" t="s">
        <v>397</v>
      </c>
      <c r="B35" s="25" t="s">
        <v>52</v>
      </c>
      <c r="C35" s="15" t="s">
        <v>398</v>
      </c>
      <c r="D35" s="15" t="s">
        <v>399</v>
      </c>
      <c r="E35" s="15" t="s">
        <v>400</v>
      </c>
      <c r="F35" s="15" t="s">
        <v>401</v>
      </c>
      <c r="G35" s="10" t="s">
        <v>346</v>
      </c>
      <c r="H35" s="10" t="s">
        <v>402</v>
      </c>
      <c r="I35" s="15" t="s">
        <v>142</v>
      </c>
      <c r="J35" s="19" t="s">
        <v>43</v>
      </c>
      <c r="K35" s="11" t="s">
        <v>143</v>
      </c>
      <c r="L35" s="11" t="s">
        <v>92</v>
      </c>
      <c r="M35" s="11">
        <v>1</v>
      </c>
      <c r="N35" s="15" t="s">
        <v>403</v>
      </c>
      <c r="O35" s="11" t="s">
        <v>404</v>
      </c>
      <c r="P35" s="15" t="s">
        <v>405</v>
      </c>
      <c r="Q35" s="20" t="s">
        <v>116</v>
      </c>
    </row>
    <row r="36" spans="1:17" ht="23.1">
      <c r="A36" s="24" t="s">
        <v>406</v>
      </c>
      <c r="B36" s="25" t="s">
        <v>54</v>
      </c>
      <c r="C36" s="15" t="s">
        <v>407</v>
      </c>
      <c r="D36" s="15" t="s">
        <v>408</v>
      </c>
      <c r="E36" s="15" t="s">
        <v>409</v>
      </c>
      <c r="F36" s="15" t="s">
        <v>410</v>
      </c>
      <c r="G36" s="10" t="s">
        <v>411</v>
      </c>
      <c r="H36" s="10" t="s">
        <v>412</v>
      </c>
      <c r="I36" s="15" t="s">
        <v>413</v>
      </c>
      <c r="J36" s="19" t="s">
        <v>43</v>
      </c>
      <c r="K36" s="11" t="s">
        <v>143</v>
      </c>
      <c r="L36" s="11" t="s">
        <v>91</v>
      </c>
      <c r="M36" s="11">
        <v>1</v>
      </c>
      <c r="N36" s="15" t="s">
        <v>414</v>
      </c>
      <c r="O36" s="11" t="s">
        <v>142</v>
      </c>
      <c r="P36" s="15" t="s">
        <v>415</v>
      </c>
      <c r="Q36" s="20" t="s">
        <v>116</v>
      </c>
    </row>
    <row r="37" spans="1:17" ht="45.95" hidden="1">
      <c r="A37" s="24" t="s">
        <v>416</v>
      </c>
      <c r="B37" s="25" t="s">
        <v>54</v>
      </c>
      <c r="C37" s="15" t="s">
        <v>417</v>
      </c>
      <c r="D37" s="15" t="s">
        <v>418</v>
      </c>
      <c r="E37" s="15" t="s">
        <v>419</v>
      </c>
      <c r="F37" s="15" t="s">
        <v>420</v>
      </c>
      <c r="G37" s="10" t="s">
        <v>411</v>
      </c>
      <c r="H37" s="10" t="s">
        <v>421</v>
      </c>
      <c r="I37" s="15" t="s">
        <v>422</v>
      </c>
      <c r="J37" s="19" t="s">
        <v>43</v>
      </c>
      <c r="K37" s="11" t="s">
        <v>143</v>
      </c>
      <c r="L37" s="11" t="s">
        <v>91</v>
      </c>
      <c r="M37" s="11">
        <v>3</v>
      </c>
      <c r="N37" s="15" t="s">
        <v>423</v>
      </c>
      <c r="O37" s="11" t="s">
        <v>424</v>
      </c>
      <c r="P37" s="15" t="s">
        <v>425</v>
      </c>
      <c r="Q37" s="20" t="s">
        <v>116</v>
      </c>
    </row>
    <row r="38" spans="1:17" ht="23.1" hidden="1">
      <c r="A38" s="24" t="s">
        <v>426</v>
      </c>
      <c r="B38" s="25" t="s">
        <v>54</v>
      </c>
      <c r="C38" s="15" t="s">
        <v>427</v>
      </c>
      <c r="D38" s="15" t="s">
        <v>428</v>
      </c>
      <c r="E38" s="15" t="s">
        <v>429</v>
      </c>
      <c r="F38" s="15" t="s">
        <v>430</v>
      </c>
      <c r="G38" s="10" t="s">
        <v>411</v>
      </c>
      <c r="H38" s="10" t="s">
        <v>421</v>
      </c>
      <c r="I38" s="15" t="s">
        <v>146</v>
      </c>
      <c r="J38" s="19" t="s">
        <v>43</v>
      </c>
      <c r="K38" s="11" t="s">
        <v>143</v>
      </c>
      <c r="L38" s="11" t="s">
        <v>91</v>
      </c>
      <c r="M38" s="11">
        <v>2</v>
      </c>
      <c r="N38" s="15" t="s">
        <v>431</v>
      </c>
      <c r="O38" s="11" t="s">
        <v>99</v>
      </c>
      <c r="P38" s="15" t="s">
        <v>432</v>
      </c>
      <c r="Q38" s="20" t="s">
        <v>116</v>
      </c>
    </row>
    <row r="39" spans="1:17" ht="23.1" hidden="1">
      <c r="A39" s="24" t="s">
        <v>433</v>
      </c>
      <c r="B39" s="25" t="s">
        <v>54</v>
      </c>
      <c r="C39" s="15" t="s">
        <v>434</v>
      </c>
      <c r="D39" s="15" t="s">
        <v>435</v>
      </c>
      <c r="E39" s="15" t="s">
        <v>436</v>
      </c>
      <c r="F39" s="15" t="s">
        <v>437</v>
      </c>
      <c r="G39" s="10" t="s">
        <v>411</v>
      </c>
      <c r="H39" s="10" t="s">
        <v>421</v>
      </c>
      <c r="I39" s="15" t="s">
        <v>426</v>
      </c>
      <c r="J39" s="19" t="s">
        <v>43</v>
      </c>
      <c r="K39" s="11" t="s">
        <v>143</v>
      </c>
      <c r="L39" s="11" t="s">
        <v>91</v>
      </c>
      <c r="M39" s="11">
        <v>2</v>
      </c>
      <c r="N39" s="15" t="s">
        <v>438</v>
      </c>
      <c r="O39" s="11" t="s">
        <v>99</v>
      </c>
      <c r="P39" s="15" t="s">
        <v>439</v>
      </c>
      <c r="Q39" s="20" t="s">
        <v>116</v>
      </c>
    </row>
    <row r="40" spans="1:17" ht="23.1">
      <c r="A40" s="24" t="s">
        <v>440</v>
      </c>
      <c r="B40" s="25" t="s">
        <v>54</v>
      </c>
      <c r="C40" s="15" t="s">
        <v>441</v>
      </c>
      <c r="D40" s="15" t="s">
        <v>442</v>
      </c>
      <c r="E40" s="15" t="s">
        <v>443</v>
      </c>
      <c r="F40" s="15" t="s">
        <v>444</v>
      </c>
      <c r="G40" s="10" t="s">
        <v>411</v>
      </c>
      <c r="H40" s="10" t="s">
        <v>445</v>
      </c>
      <c r="I40" s="15" t="s">
        <v>446</v>
      </c>
      <c r="J40" s="19" t="s">
        <v>43</v>
      </c>
      <c r="K40" s="11" t="s">
        <v>143</v>
      </c>
      <c r="L40" s="11" t="s">
        <v>91</v>
      </c>
      <c r="M40" s="11">
        <v>1</v>
      </c>
      <c r="N40" s="15" t="s">
        <v>447</v>
      </c>
      <c r="O40" s="11" t="s">
        <v>99</v>
      </c>
      <c r="P40" s="15" t="s">
        <v>448</v>
      </c>
      <c r="Q40" s="20" t="s">
        <v>116</v>
      </c>
    </row>
    <row r="41" spans="1:17" ht="23.1">
      <c r="A41" s="24" t="s">
        <v>449</v>
      </c>
      <c r="B41" s="25" t="s">
        <v>54</v>
      </c>
      <c r="C41" s="15" t="s">
        <v>450</v>
      </c>
      <c r="D41" s="15" t="s">
        <v>451</v>
      </c>
      <c r="E41" s="15" t="s">
        <v>452</v>
      </c>
      <c r="F41" s="15" t="s">
        <v>453</v>
      </c>
      <c r="G41" s="10" t="s">
        <v>411</v>
      </c>
      <c r="H41" s="10" t="s">
        <v>454</v>
      </c>
      <c r="I41" s="15" t="s">
        <v>142</v>
      </c>
      <c r="J41" s="19" t="s">
        <v>43</v>
      </c>
      <c r="K41" s="11" t="s">
        <v>143</v>
      </c>
      <c r="L41" s="11" t="s">
        <v>91</v>
      </c>
      <c r="M41" s="11">
        <v>1</v>
      </c>
      <c r="N41" s="15" t="s">
        <v>455</v>
      </c>
      <c r="O41" s="11" t="s">
        <v>142</v>
      </c>
      <c r="P41" s="15" t="s">
        <v>456</v>
      </c>
      <c r="Q41" s="20" t="s">
        <v>116</v>
      </c>
    </row>
    <row r="42" spans="1:17" ht="23.1" hidden="1">
      <c r="A42" s="24" t="s">
        <v>457</v>
      </c>
      <c r="B42" s="25" t="s">
        <v>54</v>
      </c>
      <c r="C42" s="15" t="s">
        <v>458</v>
      </c>
      <c r="D42" s="15" t="s">
        <v>459</v>
      </c>
      <c r="E42" s="15" t="s">
        <v>460</v>
      </c>
      <c r="F42" s="15" t="s">
        <v>461</v>
      </c>
      <c r="G42" s="10" t="s">
        <v>411</v>
      </c>
      <c r="H42" s="10" t="s">
        <v>421</v>
      </c>
      <c r="I42" s="15" t="s">
        <v>426</v>
      </c>
      <c r="J42" s="21" t="s">
        <v>44</v>
      </c>
      <c r="K42" s="11" t="s">
        <v>143</v>
      </c>
      <c r="L42" s="11" t="s">
        <v>91</v>
      </c>
      <c r="M42" s="11">
        <v>3</v>
      </c>
      <c r="N42" s="15" t="s">
        <v>462</v>
      </c>
      <c r="O42" s="11" t="s">
        <v>99</v>
      </c>
      <c r="P42" s="15" t="s">
        <v>463</v>
      </c>
      <c r="Q42" s="20" t="s">
        <v>116</v>
      </c>
    </row>
    <row r="43" spans="1:17" ht="23.1" hidden="1">
      <c r="A43" s="24" t="s">
        <v>464</v>
      </c>
      <c r="B43" s="25" t="s">
        <v>54</v>
      </c>
      <c r="C43" s="15" t="s">
        <v>465</v>
      </c>
      <c r="D43" s="15" t="s">
        <v>466</v>
      </c>
      <c r="E43" s="15" t="s">
        <v>467</v>
      </c>
      <c r="F43" s="15" t="s">
        <v>468</v>
      </c>
      <c r="G43" s="10" t="s">
        <v>411</v>
      </c>
      <c r="H43" s="10" t="s">
        <v>421</v>
      </c>
      <c r="I43" s="15" t="s">
        <v>469</v>
      </c>
      <c r="J43" s="19" t="s">
        <v>43</v>
      </c>
      <c r="K43" s="11" t="s">
        <v>143</v>
      </c>
      <c r="L43" s="11" t="s">
        <v>91</v>
      </c>
      <c r="M43" s="11">
        <v>3</v>
      </c>
      <c r="N43" s="15" t="s">
        <v>470</v>
      </c>
      <c r="O43" s="11" t="s">
        <v>109</v>
      </c>
      <c r="P43" s="15" t="s">
        <v>471</v>
      </c>
      <c r="Q43" s="20" t="s">
        <v>116</v>
      </c>
    </row>
    <row r="44" spans="1:17" ht="34.5" hidden="1">
      <c r="A44" s="24" t="s">
        <v>472</v>
      </c>
      <c r="B44" s="25" t="s">
        <v>54</v>
      </c>
      <c r="C44" s="15" t="s">
        <v>473</v>
      </c>
      <c r="D44" s="15" t="s">
        <v>474</v>
      </c>
      <c r="E44" s="15" t="s">
        <v>475</v>
      </c>
      <c r="F44" s="15" t="s">
        <v>476</v>
      </c>
      <c r="G44" s="10" t="s">
        <v>411</v>
      </c>
      <c r="H44" s="10" t="s">
        <v>421</v>
      </c>
      <c r="I44" s="15" t="s">
        <v>422</v>
      </c>
      <c r="J44" s="21" t="s">
        <v>44</v>
      </c>
      <c r="K44" s="11" t="s">
        <v>143</v>
      </c>
      <c r="L44" s="11" t="s">
        <v>91</v>
      </c>
      <c r="M44" s="11">
        <v>3</v>
      </c>
      <c r="N44" s="15" t="s">
        <v>477</v>
      </c>
      <c r="O44" s="11" t="s">
        <v>109</v>
      </c>
      <c r="P44" s="15" t="s">
        <v>478</v>
      </c>
      <c r="Q44" s="20" t="s">
        <v>116</v>
      </c>
    </row>
    <row r="45" spans="1:17" ht="23.1">
      <c r="A45" s="24" t="s">
        <v>479</v>
      </c>
      <c r="B45" s="25" t="s">
        <v>54</v>
      </c>
      <c r="C45" s="15" t="s">
        <v>480</v>
      </c>
      <c r="D45" s="15" t="s">
        <v>481</v>
      </c>
      <c r="E45" s="15" t="s">
        <v>482</v>
      </c>
      <c r="F45" s="15" t="s">
        <v>483</v>
      </c>
      <c r="G45" s="10" t="s">
        <v>411</v>
      </c>
      <c r="H45" s="10" t="s">
        <v>484</v>
      </c>
      <c r="I45" s="15" t="s">
        <v>142</v>
      </c>
      <c r="J45" s="21" t="s">
        <v>44</v>
      </c>
      <c r="K45" s="11" t="s">
        <v>143</v>
      </c>
      <c r="L45" s="11" t="s">
        <v>91</v>
      </c>
      <c r="M45" s="11">
        <v>1</v>
      </c>
      <c r="N45" s="15" t="s">
        <v>485</v>
      </c>
      <c r="O45" s="11" t="s">
        <v>142</v>
      </c>
      <c r="P45" s="15" t="s">
        <v>448</v>
      </c>
      <c r="Q45" s="20" t="s">
        <v>116</v>
      </c>
    </row>
    <row r="46" spans="1:17" ht="45.95" hidden="1">
      <c r="A46" s="26" t="s">
        <v>486</v>
      </c>
      <c r="B46" s="27" t="s">
        <v>56</v>
      </c>
      <c r="C46" s="15" t="s">
        <v>487</v>
      </c>
      <c r="D46" s="15" t="s">
        <v>488</v>
      </c>
      <c r="E46" s="15" t="s">
        <v>489</v>
      </c>
      <c r="F46" s="15" t="s">
        <v>490</v>
      </c>
      <c r="G46" s="10" t="s">
        <v>491</v>
      </c>
      <c r="H46" s="10" t="s">
        <v>492</v>
      </c>
      <c r="I46" s="15" t="s">
        <v>374</v>
      </c>
      <c r="J46" s="19" t="s">
        <v>43</v>
      </c>
      <c r="K46" s="11" t="s">
        <v>143</v>
      </c>
      <c r="L46" s="11" t="s">
        <v>91</v>
      </c>
      <c r="M46" s="11">
        <v>2</v>
      </c>
      <c r="N46" s="15" t="s">
        <v>493</v>
      </c>
      <c r="O46" s="11" t="s">
        <v>101</v>
      </c>
      <c r="P46" s="15" t="s">
        <v>494</v>
      </c>
      <c r="Q46" s="20" t="s">
        <v>116</v>
      </c>
    </row>
    <row r="47" spans="1:17" ht="23.1" hidden="1">
      <c r="A47" s="26" t="s">
        <v>495</v>
      </c>
      <c r="B47" s="27" t="s">
        <v>56</v>
      </c>
      <c r="C47" s="15" t="s">
        <v>496</v>
      </c>
      <c r="D47" s="15" t="s">
        <v>497</v>
      </c>
      <c r="E47" s="15" t="s">
        <v>498</v>
      </c>
      <c r="F47" s="15" t="s">
        <v>499</v>
      </c>
      <c r="G47" s="10" t="s">
        <v>491</v>
      </c>
      <c r="H47" s="10" t="s">
        <v>500</v>
      </c>
      <c r="I47" s="15" t="s">
        <v>351</v>
      </c>
      <c r="J47" s="19" t="s">
        <v>43</v>
      </c>
      <c r="K47" s="11" t="s">
        <v>143</v>
      </c>
      <c r="L47" s="11" t="s">
        <v>91</v>
      </c>
      <c r="M47" s="11">
        <v>2</v>
      </c>
      <c r="N47" s="15" t="s">
        <v>501</v>
      </c>
      <c r="O47" s="11" t="s">
        <v>101</v>
      </c>
      <c r="P47" s="15" t="s">
        <v>494</v>
      </c>
      <c r="Q47" s="20" t="s">
        <v>116</v>
      </c>
    </row>
    <row r="48" spans="1:17" ht="23.1" hidden="1">
      <c r="A48" s="26" t="s">
        <v>502</v>
      </c>
      <c r="B48" s="27" t="s">
        <v>56</v>
      </c>
      <c r="C48" s="15" t="s">
        <v>503</v>
      </c>
      <c r="D48" s="15" t="s">
        <v>504</v>
      </c>
      <c r="E48" s="15" t="s">
        <v>505</v>
      </c>
      <c r="F48" s="15" t="s">
        <v>506</v>
      </c>
      <c r="G48" s="10" t="s">
        <v>491</v>
      </c>
      <c r="H48" s="10" t="s">
        <v>507</v>
      </c>
      <c r="I48" s="15" t="s">
        <v>486</v>
      </c>
      <c r="J48" s="21" t="s">
        <v>44</v>
      </c>
      <c r="K48" s="11" t="s">
        <v>143</v>
      </c>
      <c r="L48" s="11" t="s">
        <v>91</v>
      </c>
      <c r="M48" s="11">
        <v>2</v>
      </c>
      <c r="N48" s="15" t="s">
        <v>508</v>
      </c>
      <c r="O48" s="11" t="s">
        <v>101</v>
      </c>
      <c r="P48" s="15" t="s">
        <v>494</v>
      </c>
      <c r="Q48" s="20" t="s">
        <v>116</v>
      </c>
    </row>
    <row r="49" spans="1:17" ht="23.1" hidden="1">
      <c r="A49" s="26" t="s">
        <v>509</v>
      </c>
      <c r="B49" s="27" t="s">
        <v>56</v>
      </c>
      <c r="C49" s="15" t="s">
        <v>510</v>
      </c>
      <c r="D49" s="15" t="s">
        <v>511</v>
      </c>
      <c r="E49" s="15" t="s">
        <v>512</v>
      </c>
      <c r="F49" s="15" t="s">
        <v>513</v>
      </c>
      <c r="G49" s="10" t="s">
        <v>491</v>
      </c>
      <c r="H49" s="10" t="s">
        <v>514</v>
      </c>
      <c r="I49" s="15" t="s">
        <v>486</v>
      </c>
      <c r="J49" s="19" t="s">
        <v>43</v>
      </c>
      <c r="K49" s="11" t="s">
        <v>143</v>
      </c>
      <c r="L49" s="11" t="s">
        <v>90</v>
      </c>
      <c r="M49" s="11">
        <v>3</v>
      </c>
      <c r="N49" s="15" t="s">
        <v>515</v>
      </c>
      <c r="O49" s="11" t="s">
        <v>101</v>
      </c>
      <c r="P49" s="15" t="s">
        <v>516</v>
      </c>
      <c r="Q49" s="20" t="s">
        <v>116</v>
      </c>
    </row>
    <row r="50" spans="1:17" ht="23.1" hidden="1">
      <c r="A50" s="26" t="s">
        <v>517</v>
      </c>
      <c r="B50" s="27" t="s">
        <v>56</v>
      </c>
      <c r="C50" s="15" t="s">
        <v>518</v>
      </c>
      <c r="D50" s="15" t="s">
        <v>519</v>
      </c>
      <c r="E50" s="15" t="s">
        <v>520</v>
      </c>
      <c r="F50" s="15" t="s">
        <v>521</v>
      </c>
      <c r="G50" s="10" t="s">
        <v>491</v>
      </c>
      <c r="H50" s="10" t="s">
        <v>379</v>
      </c>
      <c r="I50" s="15" t="s">
        <v>380</v>
      </c>
      <c r="J50" s="28" t="s">
        <v>45</v>
      </c>
      <c r="K50" s="11" t="s">
        <v>143</v>
      </c>
      <c r="L50" s="11" t="s">
        <v>91</v>
      </c>
      <c r="M50" s="11">
        <v>2</v>
      </c>
      <c r="N50" s="15" t="s">
        <v>522</v>
      </c>
      <c r="O50" s="11" t="s">
        <v>101</v>
      </c>
      <c r="P50" s="15" t="s">
        <v>523</v>
      </c>
      <c r="Q50" s="20" t="s">
        <v>116</v>
      </c>
    </row>
    <row r="51" spans="1:17" ht="23.1" hidden="1">
      <c r="A51" s="26" t="s">
        <v>524</v>
      </c>
      <c r="B51" s="27" t="s">
        <v>58</v>
      </c>
      <c r="C51" s="15" t="s">
        <v>525</v>
      </c>
      <c r="D51" s="15" t="s">
        <v>526</v>
      </c>
      <c r="E51" s="15" t="s">
        <v>527</v>
      </c>
      <c r="F51" s="15" t="s">
        <v>528</v>
      </c>
      <c r="G51" s="10" t="s">
        <v>491</v>
      </c>
      <c r="H51" s="10" t="s">
        <v>529</v>
      </c>
      <c r="I51" s="15" t="s">
        <v>268</v>
      </c>
      <c r="J51" s="19" t="s">
        <v>43</v>
      </c>
      <c r="K51" s="11" t="s">
        <v>143</v>
      </c>
      <c r="L51" s="11" t="s">
        <v>90</v>
      </c>
      <c r="M51" s="11">
        <v>2</v>
      </c>
      <c r="N51" s="15" t="s">
        <v>530</v>
      </c>
      <c r="O51" s="11" t="s">
        <v>105</v>
      </c>
      <c r="P51" s="15" t="s">
        <v>531</v>
      </c>
      <c r="Q51" s="20" t="s">
        <v>116</v>
      </c>
    </row>
    <row r="52" spans="1:17" ht="23.1" hidden="1">
      <c r="A52" s="26" t="s">
        <v>532</v>
      </c>
      <c r="B52" s="27" t="s">
        <v>58</v>
      </c>
      <c r="C52" s="15" t="s">
        <v>533</v>
      </c>
      <c r="D52" s="15" t="s">
        <v>534</v>
      </c>
      <c r="E52" s="15" t="s">
        <v>535</v>
      </c>
      <c r="F52" s="15" t="s">
        <v>536</v>
      </c>
      <c r="G52" s="10" t="s">
        <v>491</v>
      </c>
      <c r="H52" s="10" t="s">
        <v>537</v>
      </c>
      <c r="I52" s="15" t="s">
        <v>524</v>
      </c>
      <c r="J52" s="19" t="s">
        <v>43</v>
      </c>
      <c r="K52" s="11" t="s">
        <v>143</v>
      </c>
      <c r="L52" s="11" t="s">
        <v>90</v>
      </c>
      <c r="M52" s="11">
        <v>2</v>
      </c>
      <c r="N52" s="15" t="s">
        <v>538</v>
      </c>
      <c r="O52" s="11" t="s">
        <v>105</v>
      </c>
      <c r="P52" s="15" t="s">
        <v>539</v>
      </c>
      <c r="Q52" s="20" t="s">
        <v>116</v>
      </c>
    </row>
    <row r="53" spans="1:17" ht="23.1" hidden="1">
      <c r="A53" s="26" t="s">
        <v>540</v>
      </c>
      <c r="B53" s="27" t="s">
        <v>58</v>
      </c>
      <c r="C53" s="15" t="s">
        <v>541</v>
      </c>
      <c r="D53" s="15" t="s">
        <v>542</v>
      </c>
      <c r="E53" s="15" t="s">
        <v>543</v>
      </c>
      <c r="F53" s="15" t="s">
        <v>544</v>
      </c>
      <c r="G53" s="10" t="s">
        <v>491</v>
      </c>
      <c r="H53" s="10" t="s">
        <v>402</v>
      </c>
      <c r="I53" s="15" t="s">
        <v>397</v>
      </c>
      <c r="J53" s="19" t="s">
        <v>43</v>
      </c>
      <c r="K53" s="11" t="s">
        <v>143</v>
      </c>
      <c r="L53" s="11" t="s">
        <v>92</v>
      </c>
      <c r="M53" s="11">
        <v>2</v>
      </c>
      <c r="N53" s="15" t="s">
        <v>545</v>
      </c>
      <c r="O53" s="11" t="s">
        <v>546</v>
      </c>
      <c r="P53" s="15" t="s">
        <v>547</v>
      </c>
      <c r="Q53" s="20" t="s">
        <v>116</v>
      </c>
    </row>
    <row r="54" spans="1:17" ht="23.1" hidden="1">
      <c r="A54" s="26" t="s">
        <v>548</v>
      </c>
      <c r="B54" s="27" t="s">
        <v>58</v>
      </c>
      <c r="C54" s="15" t="s">
        <v>549</v>
      </c>
      <c r="D54" s="15" t="s">
        <v>550</v>
      </c>
      <c r="E54" s="15" t="s">
        <v>551</v>
      </c>
      <c r="F54" s="15" t="s">
        <v>552</v>
      </c>
      <c r="G54" s="10" t="s">
        <v>491</v>
      </c>
      <c r="H54" s="10" t="s">
        <v>553</v>
      </c>
      <c r="I54" s="15" t="s">
        <v>554</v>
      </c>
      <c r="J54" s="19" t="s">
        <v>43</v>
      </c>
      <c r="K54" s="11" t="s">
        <v>143</v>
      </c>
      <c r="L54" s="11" t="s">
        <v>87</v>
      </c>
      <c r="M54" s="11">
        <v>2</v>
      </c>
      <c r="N54" s="15" t="s">
        <v>555</v>
      </c>
      <c r="O54" s="11" t="s">
        <v>105</v>
      </c>
      <c r="P54" s="15" t="s">
        <v>556</v>
      </c>
      <c r="Q54" s="20" t="s">
        <v>116</v>
      </c>
    </row>
    <row r="55" spans="1:17" ht="23.1" hidden="1">
      <c r="A55" s="26" t="s">
        <v>557</v>
      </c>
      <c r="B55" s="27" t="s">
        <v>58</v>
      </c>
      <c r="C55" s="15" t="s">
        <v>558</v>
      </c>
      <c r="D55" s="15" t="s">
        <v>559</v>
      </c>
      <c r="E55" s="15" t="s">
        <v>560</v>
      </c>
      <c r="F55" s="15" t="s">
        <v>561</v>
      </c>
      <c r="G55" s="10" t="s">
        <v>491</v>
      </c>
      <c r="H55" s="10" t="s">
        <v>562</v>
      </c>
      <c r="I55" s="15" t="s">
        <v>548</v>
      </c>
      <c r="J55" s="19" t="s">
        <v>43</v>
      </c>
      <c r="K55" s="11" t="s">
        <v>143</v>
      </c>
      <c r="L55" s="11" t="s">
        <v>87</v>
      </c>
      <c r="M55" s="11">
        <v>2</v>
      </c>
      <c r="N55" s="15" t="s">
        <v>563</v>
      </c>
      <c r="O55" s="11" t="s">
        <v>105</v>
      </c>
      <c r="P55" s="15" t="s">
        <v>564</v>
      </c>
      <c r="Q55" s="20" t="s">
        <v>116</v>
      </c>
    </row>
    <row r="56" spans="1:17" ht="23.1" hidden="1">
      <c r="A56" s="26" t="s">
        <v>565</v>
      </c>
      <c r="B56" s="27" t="s">
        <v>58</v>
      </c>
      <c r="C56" s="15" t="s">
        <v>566</v>
      </c>
      <c r="D56" s="15" t="s">
        <v>567</v>
      </c>
      <c r="E56" s="15" t="s">
        <v>568</v>
      </c>
      <c r="F56" s="15" t="s">
        <v>569</v>
      </c>
      <c r="G56" s="10" t="s">
        <v>491</v>
      </c>
      <c r="H56" s="10" t="s">
        <v>570</v>
      </c>
      <c r="I56" s="15" t="s">
        <v>557</v>
      </c>
      <c r="J56" s="19" t="s">
        <v>43</v>
      </c>
      <c r="K56" s="11" t="s">
        <v>143</v>
      </c>
      <c r="L56" s="11" t="s">
        <v>87</v>
      </c>
      <c r="M56" s="11">
        <v>2</v>
      </c>
      <c r="N56" s="15" t="s">
        <v>571</v>
      </c>
      <c r="O56" s="11" t="s">
        <v>572</v>
      </c>
      <c r="P56" s="15" t="s">
        <v>564</v>
      </c>
      <c r="Q56" s="20" t="s">
        <v>116</v>
      </c>
    </row>
    <row r="57" spans="1:17" ht="23.1" hidden="1">
      <c r="A57" s="26" t="s">
        <v>573</v>
      </c>
      <c r="B57" s="27" t="s">
        <v>58</v>
      </c>
      <c r="C57" s="15" t="s">
        <v>574</v>
      </c>
      <c r="D57" s="15" t="s">
        <v>575</v>
      </c>
      <c r="E57" s="15" t="s">
        <v>576</v>
      </c>
      <c r="F57" s="15" t="s">
        <v>577</v>
      </c>
      <c r="G57" s="10" t="s">
        <v>491</v>
      </c>
      <c r="H57" s="10" t="s">
        <v>578</v>
      </c>
      <c r="I57" s="15" t="s">
        <v>557</v>
      </c>
      <c r="J57" s="21" t="s">
        <v>44</v>
      </c>
      <c r="K57" s="11" t="s">
        <v>143</v>
      </c>
      <c r="L57" s="11" t="s">
        <v>90</v>
      </c>
      <c r="M57" s="11">
        <v>3</v>
      </c>
      <c r="N57" s="15" t="s">
        <v>579</v>
      </c>
      <c r="O57" s="11" t="s">
        <v>404</v>
      </c>
      <c r="P57" s="15" t="s">
        <v>516</v>
      </c>
      <c r="Q57" s="20" t="s">
        <v>116</v>
      </c>
    </row>
    <row r="58" spans="1:17" ht="23.1" hidden="1">
      <c r="A58" s="26" t="s">
        <v>580</v>
      </c>
      <c r="B58" s="27" t="s">
        <v>58</v>
      </c>
      <c r="C58" s="15" t="s">
        <v>581</v>
      </c>
      <c r="D58" s="15" t="s">
        <v>582</v>
      </c>
      <c r="E58" s="15" t="s">
        <v>583</v>
      </c>
      <c r="F58" s="15" t="s">
        <v>584</v>
      </c>
      <c r="G58" s="10" t="s">
        <v>491</v>
      </c>
      <c r="H58" s="10" t="s">
        <v>585</v>
      </c>
      <c r="I58" s="15" t="s">
        <v>557</v>
      </c>
      <c r="J58" s="19" t="s">
        <v>43</v>
      </c>
      <c r="K58" s="11" t="s">
        <v>143</v>
      </c>
      <c r="L58" s="11" t="s">
        <v>87</v>
      </c>
      <c r="M58" s="11">
        <v>3</v>
      </c>
      <c r="N58" s="15" t="s">
        <v>586</v>
      </c>
      <c r="O58" s="11" t="s">
        <v>105</v>
      </c>
      <c r="P58" s="15" t="s">
        <v>587</v>
      </c>
      <c r="Q58" s="20" t="s">
        <v>116</v>
      </c>
    </row>
    <row r="59" spans="1:17" ht="23.1" hidden="1">
      <c r="A59" s="29" t="s">
        <v>588</v>
      </c>
      <c r="B59" s="30" t="s">
        <v>60</v>
      </c>
      <c r="C59" s="15" t="s">
        <v>589</v>
      </c>
      <c r="D59" s="15" t="s">
        <v>590</v>
      </c>
      <c r="E59" s="15" t="s">
        <v>591</v>
      </c>
      <c r="F59" s="15" t="s">
        <v>592</v>
      </c>
      <c r="G59" s="10" t="s">
        <v>593</v>
      </c>
      <c r="H59" s="10" t="s">
        <v>594</v>
      </c>
      <c r="I59" s="15" t="s">
        <v>146</v>
      </c>
      <c r="J59" s="19" t="s">
        <v>43</v>
      </c>
      <c r="K59" s="11" t="s">
        <v>143</v>
      </c>
      <c r="L59" s="11" t="s">
        <v>92</v>
      </c>
      <c r="M59" s="11">
        <v>2</v>
      </c>
      <c r="N59" s="15" t="s">
        <v>595</v>
      </c>
      <c r="O59" s="11" t="s">
        <v>109</v>
      </c>
      <c r="P59" s="15" t="s">
        <v>596</v>
      </c>
      <c r="Q59" s="20" t="s">
        <v>116</v>
      </c>
    </row>
    <row r="60" spans="1:17" ht="23.1" hidden="1">
      <c r="A60" s="29" t="s">
        <v>597</v>
      </c>
      <c r="B60" s="30" t="s">
        <v>60</v>
      </c>
      <c r="C60" s="15" t="s">
        <v>598</v>
      </c>
      <c r="D60" s="15" t="s">
        <v>599</v>
      </c>
      <c r="E60" s="15" t="s">
        <v>600</v>
      </c>
      <c r="F60" s="15" t="s">
        <v>601</v>
      </c>
      <c r="G60" s="10" t="s">
        <v>593</v>
      </c>
      <c r="H60" s="10" t="s">
        <v>602</v>
      </c>
      <c r="I60" s="15" t="s">
        <v>142</v>
      </c>
      <c r="J60" s="19" t="s">
        <v>43</v>
      </c>
      <c r="K60" s="11" t="s">
        <v>143</v>
      </c>
      <c r="L60" s="11" t="s">
        <v>92</v>
      </c>
      <c r="M60" s="11">
        <v>2</v>
      </c>
      <c r="N60" s="15" t="s">
        <v>603</v>
      </c>
      <c r="O60" s="11" t="s">
        <v>142</v>
      </c>
      <c r="P60" s="15" t="s">
        <v>604</v>
      </c>
      <c r="Q60" s="20" t="s">
        <v>116</v>
      </c>
    </row>
    <row r="61" spans="1:17" ht="23.1" hidden="1">
      <c r="A61" s="29" t="s">
        <v>605</v>
      </c>
      <c r="B61" s="30" t="s">
        <v>60</v>
      </c>
      <c r="C61" s="15" t="s">
        <v>606</v>
      </c>
      <c r="D61" s="15" t="s">
        <v>607</v>
      </c>
      <c r="E61" s="15" t="s">
        <v>608</v>
      </c>
      <c r="F61" s="15" t="s">
        <v>609</v>
      </c>
      <c r="G61" s="10" t="s">
        <v>593</v>
      </c>
      <c r="H61" s="10" t="s">
        <v>610</v>
      </c>
      <c r="I61" s="15" t="s">
        <v>433</v>
      </c>
      <c r="J61" s="19" t="s">
        <v>43</v>
      </c>
      <c r="K61" s="11" t="s">
        <v>143</v>
      </c>
      <c r="L61" s="11" t="s">
        <v>92</v>
      </c>
      <c r="M61" s="11">
        <v>2</v>
      </c>
      <c r="N61" s="15" t="s">
        <v>611</v>
      </c>
      <c r="O61" s="11" t="s">
        <v>99</v>
      </c>
      <c r="P61" s="15" t="s">
        <v>612</v>
      </c>
      <c r="Q61" s="20" t="s">
        <v>116</v>
      </c>
    </row>
    <row r="62" spans="1:17" ht="23.1" hidden="1">
      <c r="A62" s="29" t="s">
        <v>613</v>
      </c>
      <c r="B62" s="30" t="s">
        <v>60</v>
      </c>
      <c r="C62" s="15" t="s">
        <v>614</v>
      </c>
      <c r="D62" s="15" t="s">
        <v>615</v>
      </c>
      <c r="E62" s="15" t="s">
        <v>616</v>
      </c>
      <c r="F62" s="15" t="s">
        <v>617</v>
      </c>
      <c r="G62" s="10" t="s">
        <v>593</v>
      </c>
      <c r="H62" s="10" t="s">
        <v>585</v>
      </c>
      <c r="I62" s="15" t="s">
        <v>557</v>
      </c>
      <c r="J62" s="19" t="s">
        <v>43</v>
      </c>
      <c r="K62" s="11" t="s">
        <v>143</v>
      </c>
      <c r="L62" s="11" t="s">
        <v>87</v>
      </c>
      <c r="M62" s="11">
        <v>3</v>
      </c>
      <c r="N62" s="15" t="s">
        <v>618</v>
      </c>
      <c r="O62" s="11" t="s">
        <v>105</v>
      </c>
      <c r="P62" s="15" t="s">
        <v>587</v>
      </c>
      <c r="Q62" s="20" t="s">
        <v>116</v>
      </c>
    </row>
    <row r="63" spans="1:17" ht="23.1" hidden="1">
      <c r="A63" s="29" t="s">
        <v>619</v>
      </c>
      <c r="B63" s="30" t="s">
        <v>60</v>
      </c>
      <c r="C63" s="15" t="s">
        <v>620</v>
      </c>
      <c r="D63" s="15" t="s">
        <v>621</v>
      </c>
      <c r="E63" s="15" t="s">
        <v>622</v>
      </c>
      <c r="F63" s="15" t="s">
        <v>623</v>
      </c>
      <c r="G63" s="10" t="s">
        <v>593</v>
      </c>
      <c r="H63" s="10" t="s">
        <v>624</v>
      </c>
      <c r="I63" s="15" t="s">
        <v>625</v>
      </c>
      <c r="J63" s="19" t="s">
        <v>43</v>
      </c>
      <c r="K63" s="11" t="s">
        <v>143</v>
      </c>
      <c r="L63" s="11" t="s">
        <v>87</v>
      </c>
      <c r="M63" s="11">
        <v>2</v>
      </c>
      <c r="N63" s="15" t="s">
        <v>626</v>
      </c>
      <c r="O63" s="11" t="s">
        <v>103</v>
      </c>
      <c r="P63" s="15" t="s">
        <v>627</v>
      </c>
      <c r="Q63" s="20" t="s">
        <v>116</v>
      </c>
    </row>
    <row r="64" spans="1:17" ht="23.1" hidden="1">
      <c r="A64" s="29" t="s">
        <v>628</v>
      </c>
      <c r="B64" s="30" t="s">
        <v>60</v>
      </c>
      <c r="C64" s="15" t="s">
        <v>629</v>
      </c>
      <c r="D64" s="15" t="s">
        <v>630</v>
      </c>
      <c r="E64" s="15" t="s">
        <v>631</v>
      </c>
      <c r="F64" s="15" t="s">
        <v>632</v>
      </c>
      <c r="G64" s="10" t="s">
        <v>593</v>
      </c>
      <c r="H64" s="10" t="s">
        <v>633</v>
      </c>
      <c r="I64" s="15" t="s">
        <v>532</v>
      </c>
      <c r="J64" s="19" t="s">
        <v>43</v>
      </c>
      <c r="K64" s="11" t="s">
        <v>143</v>
      </c>
      <c r="L64" s="11" t="s">
        <v>92</v>
      </c>
      <c r="M64" s="11">
        <v>2</v>
      </c>
      <c r="N64" s="15" t="s">
        <v>634</v>
      </c>
      <c r="O64" s="11" t="s">
        <v>103</v>
      </c>
      <c r="P64" s="15" t="s">
        <v>635</v>
      </c>
      <c r="Q64" s="20" t="s">
        <v>116</v>
      </c>
    </row>
    <row r="65" spans="1:17" ht="23.1" hidden="1">
      <c r="A65" s="29" t="s">
        <v>636</v>
      </c>
      <c r="B65" s="30" t="s">
        <v>60</v>
      </c>
      <c r="C65" s="15" t="s">
        <v>637</v>
      </c>
      <c r="D65" s="15" t="s">
        <v>638</v>
      </c>
      <c r="E65" s="15" t="s">
        <v>639</v>
      </c>
      <c r="F65" s="15" t="s">
        <v>640</v>
      </c>
      <c r="G65" s="10" t="s">
        <v>593</v>
      </c>
      <c r="H65" s="10" t="s">
        <v>624</v>
      </c>
      <c r="I65" s="15" t="s">
        <v>416</v>
      </c>
      <c r="J65" s="28" t="s">
        <v>45</v>
      </c>
      <c r="K65" s="11" t="s">
        <v>143</v>
      </c>
      <c r="L65" s="11" t="s">
        <v>87</v>
      </c>
      <c r="M65" s="11">
        <v>2</v>
      </c>
      <c r="N65" s="15" t="s">
        <v>641</v>
      </c>
      <c r="O65" s="11" t="s">
        <v>103</v>
      </c>
      <c r="P65" s="15" t="s">
        <v>627</v>
      </c>
      <c r="Q65" s="20" t="s">
        <v>116</v>
      </c>
    </row>
    <row r="66" spans="1:17" ht="23.1" hidden="1">
      <c r="A66" s="29" t="s">
        <v>469</v>
      </c>
      <c r="B66" s="30" t="s">
        <v>62</v>
      </c>
      <c r="C66" s="15" t="s">
        <v>642</v>
      </c>
      <c r="D66" s="15" t="s">
        <v>643</v>
      </c>
      <c r="E66" s="15" t="s">
        <v>644</v>
      </c>
      <c r="F66" s="15" t="s">
        <v>645</v>
      </c>
      <c r="G66" s="10" t="s">
        <v>593</v>
      </c>
      <c r="H66" s="10" t="s">
        <v>646</v>
      </c>
      <c r="I66" s="15" t="s">
        <v>358</v>
      </c>
      <c r="J66" s="19" t="s">
        <v>43</v>
      </c>
      <c r="K66" s="11" t="s">
        <v>143</v>
      </c>
      <c r="L66" s="11" t="s">
        <v>91</v>
      </c>
      <c r="M66" s="11">
        <v>3</v>
      </c>
      <c r="N66" s="15" t="s">
        <v>647</v>
      </c>
      <c r="O66" s="11" t="s">
        <v>365</v>
      </c>
      <c r="P66" s="15" t="s">
        <v>648</v>
      </c>
      <c r="Q66" s="20" t="s">
        <v>116</v>
      </c>
    </row>
    <row r="67" spans="1:17" ht="34.5" hidden="1">
      <c r="A67" s="29" t="s">
        <v>649</v>
      </c>
      <c r="B67" s="30" t="s">
        <v>62</v>
      </c>
      <c r="C67" s="15" t="s">
        <v>650</v>
      </c>
      <c r="D67" s="15" t="s">
        <v>651</v>
      </c>
      <c r="E67" s="15" t="s">
        <v>652</v>
      </c>
      <c r="F67" s="15" t="s">
        <v>653</v>
      </c>
      <c r="G67" s="10" t="s">
        <v>593</v>
      </c>
      <c r="H67" s="10" t="s">
        <v>654</v>
      </c>
      <c r="I67" s="15" t="s">
        <v>655</v>
      </c>
      <c r="J67" s="19" t="s">
        <v>43</v>
      </c>
      <c r="K67" s="11" t="s">
        <v>143</v>
      </c>
      <c r="L67" s="11" t="s">
        <v>91</v>
      </c>
      <c r="M67" s="11">
        <v>3</v>
      </c>
      <c r="N67" s="15" t="s">
        <v>656</v>
      </c>
      <c r="O67" s="11" t="s">
        <v>657</v>
      </c>
      <c r="P67" s="15" t="s">
        <v>658</v>
      </c>
      <c r="Q67" s="20" t="s">
        <v>116</v>
      </c>
    </row>
    <row r="68" spans="1:17" ht="23.1" hidden="1">
      <c r="A68" s="29" t="s">
        <v>659</v>
      </c>
      <c r="B68" s="30" t="s">
        <v>62</v>
      </c>
      <c r="C68" s="15" t="s">
        <v>660</v>
      </c>
      <c r="D68" s="15" t="s">
        <v>661</v>
      </c>
      <c r="E68" s="15" t="s">
        <v>662</v>
      </c>
      <c r="F68" s="15" t="s">
        <v>663</v>
      </c>
      <c r="G68" s="10" t="s">
        <v>593</v>
      </c>
      <c r="H68" s="10" t="s">
        <v>654</v>
      </c>
      <c r="I68" s="15" t="s">
        <v>649</v>
      </c>
      <c r="J68" s="19" t="s">
        <v>43</v>
      </c>
      <c r="K68" s="11" t="s">
        <v>143</v>
      </c>
      <c r="L68" s="11" t="s">
        <v>91</v>
      </c>
      <c r="M68" s="11">
        <v>3</v>
      </c>
      <c r="N68" s="15" t="s">
        <v>664</v>
      </c>
      <c r="O68" s="11" t="s">
        <v>107</v>
      </c>
      <c r="P68" s="15" t="s">
        <v>658</v>
      </c>
      <c r="Q68" s="20" t="s">
        <v>116</v>
      </c>
    </row>
    <row r="69" spans="1:17" ht="23.1" hidden="1">
      <c r="A69" s="29" t="s">
        <v>665</v>
      </c>
      <c r="B69" s="30" t="s">
        <v>62</v>
      </c>
      <c r="C69" s="15" t="s">
        <v>666</v>
      </c>
      <c r="D69" s="15" t="s">
        <v>667</v>
      </c>
      <c r="E69" s="15" t="s">
        <v>668</v>
      </c>
      <c r="F69" s="15" t="s">
        <v>669</v>
      </c>
      <c r="G69" s="10" t="s">
        <v>593</v>
      </c>
      <c r="H69" s="10" t="s">
        <v>654</v>
      </c>
      <c r="I69" s="15" t="s">
        <v>416</v>
      </c>
      <c r="J69" s="21" t="s">
        <v>44</v>
      </c>
      <c r="K69" s="11" t="s">
        <v>143</v>
      </c>
      <c r="L69" s="11" t="s">
        <v>91</v>
      </c>
      <c r="M69" s="11">
        <v>3</v>
      </c>
      <c r="N69" s="15" t="s">
        <v>670</v>
      </c>
      <c r="O69" s="11" t="s">
        <v>103</v>
      </c>
      <c r="P69" s="15" t="s">
        <v>658</v>
      </c>
      <c r="Q69" s="20" t="s">
        <v>116</v>
      </c>
    </row>
    <row r="70" spans="1:17" ht="23.1" hidden="1">
      <c r="A70" s="29" t="s">
        <v>671</v>
      </c>
      <c r="B70" s="30" t="s">
        <v>64</v>
      </c>
      <c r="C70" s="15" t="s">
        <v>672</v>
      </c>
      <c r="D70" s="15" t="s">
        <v>673</v>
      </c>
      <c r="E70" s="15" t="s">
        <v>674</v>
      </c>
      <c r="F70" s="15" t="s">
        <v>675</v>
      </c>
      <c r="G70" s="10" t="s">
        <v>593</v>
      </c>
      <c r="H70" s="10" t="s">
        <v>676</v>
      </c>
      <c r="I70" s="15" t="s">
        <v>677</v>
      </c>
      <c r="J70" s="19" t="s">
        <v>43</v>
      </c>
      <c r="K70" s="11" t="s">
        <v>143</v>
      </c>
      <c r="L70" s="11" t="s">
        <v>87</v>
      </c>
      <c r="M70" s="11">
        <v>3</v>
      </c>
      <c r="N70" s="15" t="s">
        <v>678</v>
      </c>
      <c r="O70" s="11" t="s">
        <v>109</v>
      </c>
      <c r="P70" s="15" t="s">
        <v>679</v>
      </c>
      <c r="Q70" s="20" t="s">
        <v>116</v>
      </c>
    </row>
    <row r="71" spans="1:17" ht="23.1" hidden="1">
      <c r="A71" s="29" t="s">
        <v>680</v>
      </c>
      <c r="B71" s="30" t="s">
        <v>64</v>
      </c>
      <c r="C71" s="15" t="s">
        <v>681</v>
      </c>
      <c r="D71" s="15" t="s">
        <v>682</v>
      </c>
      <c r="E71" s="15" t="s">
        <v>683</v>
      </c>
      <c r="F71" s="15" t="s">
        <v>684</v>
      </c>
      <c r="G71" s="10" t="s">
        <v>593</v>
      </c>
      <c r="H71" s="10" t="s">
        <v>685</v>
      </c>
      <c r="I71" s="15" t="s">
        <v>619</v>
      </c>
      <c r="J71" s="19" t="s">
        <v>43</v>
      </c>
      <c r="K71" s="11" t="s">
        <v>143</v>
      </c>
      <c r="L71" s="11" t="s">
        <v>89</v>
      </c>
      <c r="M71" s="11">
        <v>3</v>
      </c>
      <c r="N71" s="15" t="s">
        <v>686</v>
      </c>
      <c r="O71" s="11" t="s">
        <v>109</v>
      </c>
      <c r="P71" s="15" t="s">
        <v>687</v>
      </c>
      <c r="Q71" s="20" t="s">
        <v>116</v>
      </c>
    </row>
    <row r="72" spans="1:17" ht="23.1" hidden="1">
      <c r="A72" s="29" t="s">
        <v>688</v>
      </c>
      <c r="B72" s="30" t="s">
        <v>64</v>
      </c>
      <c r="C72" s="15" t="s">
        <v>689</v>
      </c>
      <c r="D72" s="15" t="s">
        <v>690</v>
      </c>
      <c r="E72" s="15" t="s">
        <v>691</v>
      </c>
      <c r="F72" s="15" t="s">
        <v>692</v>
      </c>
      <c r="G72" s="10" t="s">
        <v>593</v>
      </c>
      <c r="H72" s="10" t="s">
        <v>676</v>
      </c>
      <c r="I72" s="15" t="s">
        <v>671</v>
      </c>
      <c r="J72" s="19" t="s">
        <v>43</v>
      </c>
      <c r="K72" s="11" t="s">
        <v>143</v>
      </c>
      <c r="L72" s="11" t="s">
        <v>87</v>
      </c>
      <c r="M72" s="11">
        <v>4</v>
      </c>
      <c r="N72" s="15" t="s">
        <v>693</v>
      </c>
      <c r="O72" s="11" t="s">
        <v>109</v>
      </c>
      <c r="P72" s="15" t="s">
        <v>694</v>
      </c>
      <c r="Q72" s="20" t="s">
        <v>116</v>
      </c>
    </row>
    <row r="73" spans="1:17" ht="23.1" hidden="1">
      <c r="A73" s="29" t="s">
        <v>695</v>
      </c>
      <c r="B73" s="30" t="s">
        <v>64</v>
      </c>
      <c r="C73" s="15" t="s">
        <v>696</v>
      </c>
      <c r="D73" s="15" t="s">
        <v>697</v>
      </c>
      <c r="E73" s="15" t="s">
        <v>698</v>
      </c>
      <c r="F73" s="15" t="s">
        <v>699</v>
      </c>
      <c r="G73" s="10" t="s">
        <v>593</v>
      </c>
      <c r="H73" s="10" t="s">
        <v>700</v>
      </c>
      <c r="I73" s="15" t="s">
        <v>671</v>
      </c>
      <c r="J73" s="21" t="s">
        <v>44</v>
      </c>
      <c r="K73" s="11" t="s">
        <v>143</v>
      </c>
      <c r="L73" s="11" t="s">
        <v>87</v>
      </c>
      <c r="M73" s="11">
        <v>3</v>
      </c>
      <c r="N73" s="15" t="s">
        <v>701</v>
      </c>
      <c r="O73" s="11" t="s">
        <v>109</v>
      </c>
      <c r="P73" s="15" t="s">
        <v>702</v>
      </c>
      <c r="Q73" s="20" t="s">
        <v>116</v>
      </c>
    </row>
    <row r="74" spans="1:17" ht="23.1" hidden="1">
      <c r="A74" s="29" t="s">
        <v>703</v>
      </c>
      <c r="B74" s="30" t="s">
        <v>64</v>
      </c>
      <c r="C74" s="15" t="s">
        <v>704</v>
      </c>
      <c r="D74" s="15" t="s">
        <v>705</v>
      </c>
      <c r="E74" s="15" t="s">
        <v>706</v>
      </c>
      <c r="F74" s="15" t="s">
        <v>707</v>
      </c>
      <c r="G74" s="10" t="s">
        <v>593</v>
      </c>
      <c r="H74" s="10" t="s">
        <v>708</v>
      </c>
      <c r="I74" s="15" t="s">
        <v>464</v>
      </c>
      <c r="J74" s="19" t="s">
        <v>43</v>
      </c>
      <c r="K74" s="11" t="s">
        <v>143</v>
      </c>
      <c r="L74" s="11" t="s">
        <v>91</v>
      </c>
      <c r="M74" s="11">
        <v>3</v>
      </c>
      <c r="N74" s="15" t="s">
        <v>709</v>
      </c>
      <c r="O74" s="11" t="s">
        <v>109</v>
      </c>
      <c r="P74" s="15" t="s">
        <v>710</v>
      </c>
      <c r="Q74" s="20" t="s">
        <v>116</v>
      </c>
    </row>
    <row r="75" spans="1:17" ht="23.1" hidden="1">
      <c r="A75" s="29" t="s">
        <v>711</v>
      </c>
      <c r="B75" s="30" t="s">
        <v>64</v>
      </c>
      <c r="C75" s="15" t="s">
        <v>712</v>
      </c>
      <c r="D75" s="15" t="s">
        <v>713</v>
      </c>
      <c r="E75" s="15" t="s">
        <v>714</v>
      </c>
      <c r="F75" s="15" t="s">
        <v>715</v>
      </c>
      <c r="G75" s="10" t="s">
        <v>593</v>
      </c>
      <c r="H75" s="10" t="s">
        <v>716</v>
      </c>
      <c r="I75" s="15" t="s">
        <v>588</v>
      </c>
      <c r="J75" s="19" t="s">
        <v>43</v>
      </c>
      <c r="K75" s="11" t="s">
        <v>143</v>
      </c>
      <c r="L75" s="11" t="s">
        <v>92</v>
      </c>
      <c r="M75" s="11">
        <v>3</v>
      </c>
      <c r="N75" s="15" t="s">
        <v>717</v>
      </c>
      <c r="O75" s="11" t="s">
        <v>718</v>
      </c>
      <c r="P75" s="15" t="s">
        <v>719</v>
      </c>
      <c r="Q75" s="20" t="s">
        <v>116</v>
      </c>
    </row>
    <row r="76" spans="1:17" ht="23.1" hidden="1">
      <c r="A76" s="29" t="s">
        <v>720</v>
      </c>
      <c r="B76" s="30" t="s">
        <v>66</v>
      </c>
      <c r="C76" s="15" t="s">
        <v>721</v>
      </c>
      <c r="D76" s="15" t="s">
        <v>722</v>
      </c>
      <c r="E76" s="15" t="s">
        <v>723</v>
      </c>
      <c r="F76" s="15" t="s">
        <v>724</v>
      </c>
      <c r="G76" s="10" t="s">
        <v>593</v>
      </c>
      <c r="H76" s="10" t="s">
        <v>725</v>
      </c>
      <c r="I76" s="15" t="s">
        <v>703</v>
      </c>
      <c r="J76" s="19" t="s">
        <v>43</v>
      </c>
      <c r="K76" s="11" t="s">
        <v>143</v>
      </c>
      <c r="L76" s="11" t="s">
        <v>87</v>
      </c>
      <c r="M76" s="11">
        <v>4</v>
      </c>
      <c r="N76" s="15" t="s">
        <v>726</v>
      </c>
      <c r="O76" s="11" t="s">
        <v>111</v>
      </c>
      <c r="P76" s="15" t="s">
        <v>727</v>
      </c>
      <c r="Q76" s="20" t="s">
        <v>116</v>
      </c>
    </row>
    <row r="77" spans="1:17" ht="23.1" hidden="1">
      <c r="A77" s="29" t="s">
        <v>728</v>
      </c>
      <c r="B77" s="30" t="s">
        <v>66</v>
      </c>
      <c r="C77" s="15" t="s">
        <v>729</v>
      </c>
      <c r="D77" s="15" t="s">
        <v>730</v>
      </c>
      <c r="E77" s="15" t="s">
        <v>731</v>
      </c>
      <c r="F77" s="15" t="s">
        <v>732</v>
      </c>
      <c r="G77" s="10" t="s">
        <v>593</v>
      </c>
      <c r="H77" s="10" t="s">
        <v>725</v>
      </c>
      <c r="I77" s="15" t="s">
        <v>222</v>
      </c>
      <c r="J77" s="21" t="s">
        <v>44</v>
      </c>
      <c r="K77" s="11" t="s">
        <v>143</v>
      </c>
      <c r="L77" s="11" t="s">
        <v>87</v>
      </c>
      <c r="M77" s="11">
        <v>4</v>
      </c>
      <c r="N77" s="15" t="s">
        <v>733</v>
      </c>
      <c r="O77" s="11" t="s">
        <v>111</v>
      </c>
      <c r="P77" s="15" t="s">
        <v>727</v>
      </c>
      <c r="Q77" s="20" t="s">
        <v>116</v>
      </c>
    </row>
    <row r="78" spans="1:17" ht="23.1" hidden="1">
      <c r="A78" s="29" t="s">
        <v>734</v>
      </c>
      <c r="B78" s="30" t="s">
        <v>66</v>
      </c>
      <c r="C78" s="15" t="s">
        <v>735</v>
      </c>
      <c r="D78" s="15" t="s">
        <v>736</v>
      </c>
      <c r="E78" s="15" t="s">
        <v>737</v>
      </c>
      <c r="F78" s="15" t="s">
        <v>738</v>
      </c>
      <c r="G78" s="10" t="s">
        <v>593</v>
      </c>
      <c r="H78" s="10" t="s">
        <v>739</v>
      </c>
      <c r="I78" s="15" t="s">
        <v>295</v>
      </c>
      <c r="J78" s="19" t="s">
        <v>43</v>
      </c>
      <c r="K78" s="11" t="s">
        <v>143</v>
      </c>
      <c r="L78" s="11" t="s">
        <v>90</v>
      </c>
      <c r="M78" s="11">
        <v>4</v>
      </c>
      <c r="N78" s="15" t="s">
        <v>740</v>
      </c>
      <c r="O78" s="11" t="s">
        <v>111</v>
      </c>
      <c r="P78" s="15" t="s">
        <v>741</v>
      </c>
      <c r="Q78" s="20" t="s">
        <v>116</v>
      </c>
    </row>
    <row r="79" spans="1:17" ht="23.1" hidden="1">
      <c r="A79" s="29" t="s">
        <v>742</v>
      </c>
      <c r="B79" s="30" t="s">
        <v>66</v>
      </c>
      <c r="C79" s="15" t="s">
        <v>743</v>
      </c>
      <c r="D79" s="15" t="s">
        <v>744</v>
      </c>
      <c r="E79" s="15" t="s">
        <v>745</v>
      </c>
      <c r="F79" s="15" t="s">
        <v>746</v>
      </c>
      <c r="G79" s="10" t="s">
        <v>593</v>
      </c>
      <c r="H79" s="10" t="s">
        <v>739</v>
      </c>
      <c r="I79" s="15" t="s">
        <v>734</v>
      </c>
      <c r="J79" s="19" t="s">
        <v>43</v>
      </c>
      <c r="K79" s="11" t="s">
        <v>143</v>
      </c>
      <c r="L79" s="11" t="s">
        <v>92</v>
      </c>
      <c r="M79" s="11">
        <v>4</v>
      </c>
      <c r="N79" s="15" t="s">
        <v>747</v>
      </c>
      <c r="O79" s="11" t="s">
        <v>111</v>
      </c>
      <c r="P79" s="15" t="s">
        <v>748</v>
      </c>
      <c r="Q79" s="20" t="s">
        <v>116</v>
      </c>
    </row>
    <row r="80" spans="1:17" ht="23.1" hidden="1">
      <c r="A80" s="29" t="s">
        <v>749</v>
      </c>
      <c r="B80" s="30" t="s">
        <v>66</v>
      </c>
      <c r="C80" s="15" t="s">
        <v>750</v>
      </c>
      <c r="D80" s="15" t="s">
        <v>751</v>
      </c>
      <c r="E80" s="15" t="s">
        <v>752</v>
      </c>
      <c r="F80" s="15" t="s">
        <v>753</v>
      </c>
      <c r="G80" s="10" t="s">
        <v>593</v>
      </c>
      <c r="H80" s="10" t="s">
        <v>754</v>
      </c>
      <c r="I80" s="15" t="s">
        <v>711</v>
      </c>
      <c r="J80" s="21" t="s">
        <v>44</v>
      </c>
      <c r="K80" s="11" t="s">
        <v>143</v>
      </c>
      <c r="L80" s="11" t="s">
        <v>87</v>
      </c>
      <c r="M80" s="11">
        <v>4</v>
      </c>
      <c r="N80" s="15" t="s">
        <v>755</v>
      </c>
      <c r="O80" s="11" t="s">
        <v>187</v>
      </c>
      <c r="P80" s="15" t="s">
        <v>756</v>
      </c>
      <c r="Q80" s="20" t="s">
        <v>116</v>
      </c>
    </row>
    <row r="81" spans="1:17" ht="23.1" hidden="1">
      <c r="A81" s="29" t="s">
        <v>757</v>
      </c>
      <c r="B81" s="30" t="s">
        <v>66</v>
      </c>
      <c r="C81" s="15" t="s">
        <v>758</v>
      </c>
      <c r="D81" s="15" t="s">
        <v>759</v>
      </c>
      <c r="E81" s="15" t="s">
        <v>760</v>
      </c>
      <c r="F81" s="15" t="s">
        <v>761</v>
      </c>
      <c r="G81" s="10" t="s">
        <v>593</v>
      </c>
      <c r="H81" s="10" t="s">
        <v>762</v>
      </c>
      <c r="I81" s="15" t="s">
        <v>749</v>
      </c>
      <c r="J81" s="19" t="s">
        <v>43</v>
      </c>
      <c r="K81" s="11" t="s">
        <v>143</v>
      </c>
      <c r="L81" s="11" t="s">
        <v>87</v>
      </c>
      <c r="M81" s="11">
        <v>4</v>
      </c>
      <c r="N81" s="15" t="s">
        <v>763</v>
      </c>
      <c r="O81" s="11" t="s">
        <v>365</v>
      </c>
      <c r="P81" s="15" t="s">
        <v>764</v>
      </c>
      <c r="Q81" s="20" t="s">
        <v>116</v>
      </c>
    </row>
    <row r="82" spans="1:17" ht="23.1" hidden="1">
      <c r="A82" s="29" t="s">
        <v>765</v>
      </c>
      <c r="B82" s="30" t="s">
        <v>66</v>
      </c>
      <c r="C82" s="15" t="s">
        <v>766</v>
      </c>
      <c r="D82" s="15" t="s">
        <v>767</v>
      </c>
      <c r="E82" s="15" t="s">
        <v>768</v>
      </c>
      <c r="F82" s="15" t="s">
        <v>769</v>
      </c>
      <c r="G82" s="10" t="s">
        <v>593</v>
      </c>
      <c r="H82" s="10" t="s">
        <v>708</v>
      </c>
      <c r="I82" s="15" t="s">
        <v>703</v>
      </c>
      <c r="J82" s="19" t="s">
        <v>43</v>
      </c>
      <c r="K82" s="11" t="s">
        <v>143</v>
      </c>
      <c r="L82" s="11" t="s">
        <v>91</v>
      </c>
      <c r="M82" s="11">
        <v>3</v>
      </c>
      <c r="N82" s="15" t="s">
        <v>770</v>
      </c>
      <c r="O82" s="11" t="s">
        <v>111</v>
      </c>
      <c r="P82" s="15" t="s">
        <v>710</v>
      </c>
      <c r="Q82" s="20" t="s">
        <v>116</v>
      </c>
    </row>
    <row r="83" spans="1:17" ht="23.1">
      <c r="A83" s="31" t="s">
        <v>771</v>
      </c>
      <c r="B83" s="32" t="s">
        <v>68</v>
      </c>
      <c r="C83" s="15" t="s">
        <v>772</v>
      </c>
      <c r="D83" s="15" t="s">
        <v>773</v>
      </c>
      <c r="E83" s="15" t="s">
        <v>774</v>
      </c>
      <c r="F83" s="15" t="s">
        <v>775</v>
      </c>
      <c r="G83" s="10" t="s">
        <v>776</v>
      </c>
      <c r="H83" s="10" t="s">
        <v>777</v>
      </c>
      <c r="I83" s="15" t="s">
        <v>142</v>
      </c>
      <c r="J83" s="19" t="s">
        <v>43</v>
      </c>
      <c r="K83" s="11" t="s">
        <v>143</v>
      </c>
      <c r="L83" s="11" t="s">
        <v>92</v>
      </c>
      <c r="M83" s="11">
        <v>1</v>
      </c>
      <c r="N83" s="15" t="s">
        <v>778</v>
      </c>
      <c r="O83" s="11" t="s">
        <v>97</v>
      </c>
      <c r="P83" s="15" t="s">
        <v>779</v>
      </c>
      <c r="Q83" s="20" t="s">
        <v>116</v>
      </c>
    </row>
    <row r="84" spans="1:17" ht="23.1">
      <c r="A84" s="31" t="s">
        <v>780</v>
      </c>
      <c r="B84" s="32" t="s">
        <v>68</v>
      </c>
      <c r="C84" s="15" t="s">
        <v>781</v>
      </c>
      <c r="D84" s="15" t="s">
        <v>782</v>
      </c>
      <c r="E84" s="15" t="s">
        <v>783</v>
      </c>
      <c r="F84" s="15" t="s">
        <v>784</v>
      </c>
      <c r="G84" s="10" t="s">
        <v>776</v>
      </c>
      <c r="H84" s="10" t="s">
        <v>785</v>
      </c>
      <c r="I84" s="15" t="s">
        <v>241</v>
      </c>
      <c r="J84" s="19" t="s">
        <v>43</v>
      </c>
      <c r="K84" s="11" t="s">
        <v>143</v>
      </c>
      <c r="L84" s="11" t="s">
        <v>92</v>
      </c>
      <c r="M84" s="11">
        <v>1</v>
      </c>
      <c r="N84" s="15" t="s">
        <v>786</v>
      </c>
      <c r="O84" s="11" t="s">
        <v>97</v>
      </c>
      <c r="P84" s="15" t="s">
        <v>787</v>
      </c>
      <c r="Q84" s="20" t="s">
        <v>116</v>
      </c>
    </row>
    <row r="85" spans="1:17" ht="23.1" hidden="1">
      <c r="A85" s="31" t="s">
        <v>788</v>
      </c>
      <c r="B85" s="32" t="s">
        <v>68</v>
      </c>
      <c r="C85" s="15" t="s">
        <v>789</v>
      </c>
      <c r="D85" s="15" t="s">
        <v>790</v>
      </c>
      <c r="E85" s="15" t="s">
        <v>791</v>
      </c>
      <c r="F85" s="15" t="s">
        <v>792</v>
      </c>
      <c r="G85" s="10" t="s">
        <v>776</v>
      </c>
      <c r="H85" s="10" t="s">
        <v>793</v>
      </c>
      <c r="I85" s="15" t="s">
        <v>711</v>
      </c>
      <c r="J85" s="19" t="s">
        <v>43</v>
      </c>
      <c r="K85" s="11" t="s">
        <v>143</v>
      </c>
      <c r="L85" s="11" t="s">
        <v>92</v>
      </c>
      <c r="M85" s="11">
        <v>3</v>
      </c>
      <c r="N85" s="15" t="s">
        <v>794</v>
      </c>
      <c r="O85" s="11" t="s">
        <v>109</v>
      </c>
      <c r="P85" s="15" t="s">
        <v>795</v>
      </c>
      <c r="Q85" s="20" t="s">
        <v>116</v>
      </c>
    </row>
    <row r="86" spans="1:17" ht="23.1" hidden="1">
      <c r="A86" s="31" t="s">
        <v>796</v>
      </c>
      <c r="B86" s="32" t="s">
        <v>68</v>
      </c>
      <c r="C86" s="15" t="s">
        <v>797</v>
      </c>
      <c r="D86" s="15" t="s">
        <v>798</v>
      </c>
      <c r="E86" s="15" t="s">
        <v>799</v>
      </c>
      <c r="F86" s="15" t="s">
        <v>800</v>
      </c>
      <c r="G86" s="10" t="s">
        <v>776</v>
      </c>
      <c r="H86" s="10" t="s">
        <v>801</v>
      </c>
      <c r="I86" s="15" t="s">
        <v>486</v>
      </c>
      <c r="J86" s="19" t="s">
        <v>43</v>
      </c>
      <c r="K86" s="11" t="s">
        <v>143</v>
      </c>
      <c r="L86" s="11" t="s">
        <v>92</v>
      </c>
      <c r="M86" s="11">
        <v>3</v>
      </c>
      <c r="N86" s="15" t="s">
        <v>802</v>
      </c>
      <c r="O86" s="11" t="s">
        <v>101</v>
      </c>
      <c r="P86" s="15" t="s">
        <v>803</v>
      </c>
      <c r="Q86" s="20" t="s">
        <v>116</v>
      </c>
    </row>
    <row r="87" spans="1:17" ht="23.1" hidden="1">
      <c r="A87" s="31" t="s">
        <v>804</v>
      </c>
      <c r="B87" s="32" t="s">
        <v>68</v>
      </c>
      <c r="C87" s="15" t="s">
        <v>805</v>
      </c>
      <c r="D87" s="15" t="s">
        <v>806</v>
      </c>
      <c r="E87" s="15" t="s">
        <v>807</v>
      </c>
      <c r="F87" s="15" t="s">
        <v>808</v>
      </c>
      <c r="G87" s="10" t="s">
        <v>776</v>
      </c>
      <c r="H87" s="10" t="s">
        <v>809</v>
      </c>
      <c r="I87" s="15" t="s">
        <v>557</v>
      </c>
      <c r="J87" s="19" t="s">
        <v>43</v>
      </c>
      <c r="K87" s="11" t="s">
        <v>143</v>
      </c>
      <c r="L87" s="11" t="s">
        <v>92</v>
      </c>
      <c r="M87" s="11">
        <v>3</v>
      </c>
      <c r="N87" s="15" t="s">
        <v>810</v>
      </c>
      <c r="O87" s="11" t="s">
        <v>105</v>
      </c>
      <c r="P87" s="15" t="s">
        <v>811</v>
      </c>
      <c r="Q87" s="20" t="s">
        <v>116</v>
      </c>
    </row>
    <row r="88" spans="1:17" ht="23.1" hidden="1">
      <c r="A88" s="31" t="s">
        <v>812</v>
      </c>
      <c r="B88" s="32" t="s">
        <v>68</v>
      </c>
      <c r="C88" s="15" t="s">
        <v>813</v>
      </c>
      <c r="D88" s="15" t="s">
        <v>814</v>
      </c>
      <c r="E88" s="15" t="s">
        <v>815</v>
      </c>
      <c r="F88" s="15" t="s">
        <v>816</v>
      </c>
      <c r="G88" s="10" t="s">
        <v>776</v>
      </c>
      <c r="H88" s="10" t="s">
        <v>817</v>
      </c>
      <c r="I88" s="15" t="s">
        <v>649</v>
      </c>
      <c r="J88" s="19" t="s">
        <v>43</v>
      </c>
      <c r="K88" s="11" t="s">
        <v>143</v>
      </c>
      <c r="L88" s="11" t="s">
        <v>92</v>
      </c>
      <c r="M88" s="11">
        <v>3</v>
      </c>
      <c r="N88" s="15" t="s">
        <v>818</v>
      </c>
      <c r="O88" s="11" t="s">
        <v>103</v>
      </c>
      <c r="P88" s="15" t="s">
        <v>819</v>
      </c>
      <c r="Q88" s="20" t="s">
        <v>116</v>
      </c>
    </row>
    <row r="89" spans="1:17" ht="23.1" hidden="1">
      <c r="A89" s="31" t="s">
        <v>820</v>
      </c>
      <c r="B89" s="32" t="s">
        <v>68</v>
      </c>
      <c r="C89" s="15" t="s">
        <v>821</v>
      </c>
      <c r="D89" s="15" t="s">
        <v>822</v>
      </c>
      <c r="E89" s="15" t="s">
        <v>823</v>
      </c>
      <c r="F89" s="15" t="s">
        <v>824</v>
      </c>
      <c r="G89" s="10" t="s">
        <v>776</v>
      </c>
      <c r="H89" s="10" t="s">
        <v>825</v>
      </c>
      <c r="I89" s="15" t="s">
        <v>826</v>
      </c>
      <c r="J89" s="19" t="s">
        <v>43</v>
      </c>
      <c r="K89" s="11" t="s">
        <v>143</v>
      </c>
      <c r="L89" s="11" t="s">
        <v>92</v>
      </c>
      <c r="M89" s="11">
        <v>3</v>
      </c>
      <c r="N89" s="15" t="s">
        <v>827</v>
      </c>
      <c r="O89" s="11" t="s">
        <v>187</v>
      </c>
      <c r="P89" s="15" t="s">
        <v>828</v>
      </c>
      <c r="Q89" s="20" t="s">
        <v>116</v>
      </c>
    </row>
    <row r="90" spans="1:17" ht="23.1" hidden="1">
      <c r="A90" s="31" t="s">
        <v>829</v>
      </c>
      <c r="B90" s="32" t="s">
        <v>68</v>
      </c>
      <c r="C90" s="15" t="s">
        <v>830</v>
      </c>
      <c r="D90" s="15" t="s">
        <v>831</v>
      </c>
      <c r="E90" s="15" t="s">
        <v>832</v>
      </c>
      <c r="F90" s="15" t="s">
        <v>833</v>
      </c>
      <c r="G90" s="10" t="s">
        <v>776</v>
      </c>
      <c r="H90" s="10" t="s">
        <v>834</v>
      </c>
      <c r="I90" s="15" t="s">
        <v>720</v>
      </c>
      <c r="J90" s="19" t="s">
        <v>43</v>
      </c>
      <c r="K90" s="11" t="s">
        <v>143</v>
      </c>
      <c r="L90" s="11" t="s">
        <v>92</v>
      </c>
      <c r="M90" s="11">
        <v>4</v>
      </c>
      <c r="N90" s="15" t="s">
        <v>835</v>
      </c>
      <c r="O90" s="11" t="s">
        <v>111</v>
      </c>
      <c r="P90" s="15" t="s">
        <v>836</v>
      </c>
      <c r="Q90" s="20" t="s">
        <v>116</v>
      </c>
    </row>
    <row r="91" spans="1:17" ht="23.1" hidden="1">
      <c r="A91" s="31" t="s">
        <v>837</v>
      </c>
      <c r="B91" s="32" t="s">
        <v>68</v>
      </c>
      <c r="C91" s="15" t="s">
        <v>838</v>
      </c>
      <c r="D91" s="15" t="s">
        <v>839</v>
      </c>
      <c r="E91" s="15" t="s">
        <v>840</v>
      </c>
      <c r="F91" s="15" t="s">
        <v>841</v>
      </c>
      <c r="G91" s="10" t="s">
        <v>776</v>
      </c>
      <c r="H91" s="10" t="s">
        <v>842</v>
      </c>
      <c r="I91" s="15" t="s">
        <v>734</v>
      </c>
      <c r="J91" s="19" t="s">
        <v>43</v>
      </c>
      <c r="K91" s="11" t="s">
        <v>143</v>
      </c>
      <c r="L91" s="11" t="s">
        <v>92</v>
      </c>
      <c r="M91" s="11">
        <v>4</v>
      </c>
      <c r="N91" s="15" t="s">
        <v>843</v>
      </c>
      <c r="O91" s="11" t="s">
        <v>111</v>
      </c>
      <c r="P91" s="15" t="s">
        <v>748</v>
      </c>
      <c r="Q91" s="20" t="s">
        <v>116</v>
      </c>
    </row>
    <row r="92" spans="1:17" ht="23.1" hidden="1">
      <c r="A92" s="31" t="s">
        <v>844</v>
      </c>
      <c r="B92" s="32" t="s">
        <v>68</v>
      </c>
      <c r="C92" s="15" t="s">
        <v>845</v>
      </c>
      <c r="D92" s="15" t="s">
        <v>846</v>
      </c>
      <c r="E92" s="15" t="s">
        <v>847</v>
      </c>
      <c r="F92" s="15" t="s">
        <v>848</v>
      </c>
      <c r="G92" s="10" t="s">
        <v>776</v>
      </c>
      <c r="H92" s="10" t="s">
        <v>777</v>
      </c>
      <c r="I92" s="15" t="s">
        <v>711</v>
      </c>
      <c r="J92" s="19" t="s">
        <v>43</v>
      </c>
      <c r="K92" s="11" t="s">
        <v>143</v>
      </c>
      <c r="L92" s="11" t="s">
        <v>92</v>
      </c>
      <c r="M92" s="11">
        <v>4</v>
      </c>
      <c r="N92" s="15" t="s">
        <v>849</v>
      </c>
      <c r="O92" s="11" t="s">
        <v>718</v>
      </c>
      <c r="P92" s="15" t="s">
        <v>850</v>
      </c>
      <c r="Q92" s="20" t="s">
        <v>116</v>
      </c>
    </row>
    <row r="93" spans="1:17" ht="23.1" hidden="1">
      <c r="A93" s="33" t="s">
        <v>826</v>
      </c>
      <c r="B93" s="34" t="s">
        <v>70</v>
      </c>
      <c r="C93" s="15" t="s">
        <v>851</v>
      </c>
      <c r="D93" s="15" t="s">
        <v>852</v>
      </c>
      <c r="E93" s="15" t="s">
        <v>853</v>
      </c>
      <c r="F93" s="15" t="s">
        <v>854</v>
      </c>
      <c r="G93" s="10" t="s">
        <v>855</v>
      </c>
      <c r="H93" s="10" t="s">
        <v>856</v>
      </c>
      <c r="I93" s="15" t="s">
        <v>142</v>
      </c>
      <c r="J93" s="19" t="s">
        <v>43</v>
      </c>
      <c r="K93" s="11" t="s">
        <v>143</v>
      </c>
      <c r="L93" s="11" t="s">
        <v>91</v>
      </c>
      <c r="M93" s="11">
        <v>2</v>
      </c>
      <c r="N93" s="15" t="s">
        <v>857</v>
      </c>
      <c r="O93" s="11" t="s">
        <v>187</v>
      </c>
      <c r="P93" s="15" t="s">
        <v>858</v>
      </c>
      <c r="Q93" s="20" t="s">
        <v>116</v>
      </c>
    </row>
    <row r="94" spans="1:17" ht="23.1" hidden="1">
      <c r="A94" s="33" t="s">
        <v>859</v>
      </c>
      <c r="B94" s="34" t="s">
        <v>70</v>
      </c>
      <c r="C94" s="15" t="s">
        <v>860</v>
      </c>
      <c r="D94" s="15" t="s">
        <v>861</v>
      </c>
      <c r="E94" s="15" t="s">
        <v>862</v>
      </c>
      <c r="F94" s="15" t="s">
        <v>863</v>
      </c>
      <c r="G94" s="10" t="s">
        <v>855</v>
      </c>
      <c r="H94" s="10" t="s">
        <v>864</v>
      </c>
      <c r="I94" s="15" t="s">
        <v>142</v>
      </c>
      <c r="J94" s="19" t="s">
        <v>43</v>
      </c>
      <c r="K94" s="11" t="s">
        <v>143</v>
      </c>
      <c r="L94" s="11" t="s">
        <v>91</v>
      </c>
      <c r="M94" s="11">
        <v>2</v>
      </c>
      <c r="N94" s="15" t="s">
        <v>865</v>
      </c>
      <c r="O94" s="11" t="s">
        <v>109</v>
      </c>
      <c r="P94" s="15" t="s">
        <v>866</v>
      </c>
      <c r="Q94" s="20" t="s">
        <v>116</v>
      </c>
    </row>
    <row r="95" spans="1:17" ht="23.1" hidden="1">
      <c r="A95" s="33" t="s">
        <v>867</v>
      </c>
      <c r="B95" s="34" t="s">
        <v>70</v>
      </c>
      <c r="C95" s="15" t="s">
        <v>868</v>
      </c>
      <c r="D95" s="15" t="s">
        <v>869</v>
      </c>
      <c r="E95" s="15" t="s">
        <v>870</v>
      </c>
      <c r="F95" s="15" t="s">
        <v>871</v>
      </c>
      <c r="G95" s="10" t="s">
        <v>855</v>
      </c>
      <c r="H95" s="10" t="s">
        <v>872</v>
      </c>
      <c r="I95" s="15" t="s">
        <v>859</v>
      </c>
      <c r="J95" s="19" t="s">
        <v>43</v>
      </c>
      <c r="K95" s="11" t="s">
        <v>143</v>
      </c>
      <c r="L95" s="11" t="s">
        <v>91</v>
      </c>
      <c r="M95" s="11">
        <v>4</v>
      </c>
      <c r="N95" s="15" t="s">
        <v>873</v>
      </c>
      <c r="O95" s="11" t="s">
        <v>109</v>
      </c>
      <c r="P95" s="15" t="s">
        <v>694</v>
      </c>
      <c r="Q95" s="20" t="s">
        <v>116</v>
      </c>
    </row>
    <row r="96" spans="1:17" ht="23.1" hidden="1">
      <c r="A96" s="33" t="s">
        <v>874</v>
      </c>
      <c r="B96" s="34" t="s">
        <v>70</v>
      </c>
      <c r="C96" s="15" t="s">
        <v>875</v>
      </c>
      <c r="D96" s="15" t="s">
        <v>876</v>
      </c>
      <c r="E96" s="15" t="s">
        <v>877</v>
      </c>
      <c r="F96" s="15" t="s">
        <v>878</v>
      </c>
      <c r="G96" s="10" t="s">
        <v>855</v>
      </c>
      <c r="H96" s="10" t="s">
        <v>879</v>
      </c>
      <c r="I96" s="15" t="s">
        <v>391</v>
      </c>
      <c r="J96" s="19" t="s">
        <v>43</v>
      </c>
      <c r="K96" s="11" t="s">
        <v>143</v>
      </c>
      <c r="L96" s="11" t="s">
        <v>91</v>
      </c>
      <c r="M96" s="11">
        <v>2</v>
      </c>
      <c r="N96" s="15" t="s">
        <v>880</v>
      </c>
      <c r="O96" s="11" t="s">
        <v>142</v>
      </c>
      <c r="P96" s="15" t="s">
        <v>340</v>
      </c>
      <c r="Q96" s="20" t="s">
        <v>116</v>
      </c>
    </row>
    <row r="97" spans="1:17" ht="23.1" hidden="1">
      <c r="A97" s="33" t="s">
        <v>881</v>
      </c>
      <c r="B97" s="34" t="s">
        <v>70</v>
      </c>
      <c r="C97" s="15" t="s">
        <v>882</v>
      </c>
      <c r="D97" s="15" t="s">
        <v>883</v>
      </c>
      <c r="E97" s="15" t="s">
        <v>884</v>
      </c>
      <c r="F97" s="15" t="s">
        <v>885</v>
      </c>
      <c r="G97" s="10" t="s">
        <v>855</v>
      </c>
      <c r="H97" s="10" t="s">
        <v>886</v>
      </c>
      <c r="I97" s="15" t="s">
        <v>464</v>
      </c>
      <c r="J97" s="19" t="s">
        <v>43</v>
      </c>
      <c r="K97" s="11" t="s">
        <v>143</v>
      </c>
      <c r="L97" s="11" t="s">
        <v>91</v>
      </c>
      <c r="M97" s="11">
        <v>3</v>
      </c>
      <c r="N97" s="15" t="s">
        <v>887</v>
      </c>
      <c r="O97" s="11" t="s">
        <v>109</v>
      </c>
      <c r="P97" s="15" t="s">
        <v>888</v>
      </c>
      <c r="Q97" s="20" t="s">
        <v>116</v>
      </c>
    </row>
    <row r="98" spans="1:17" ht="23.1" hidden="1">
      <c r="A98" s="33" t="s">
        <v>889</v>
      </c>
      <c r="B98" s="34" t="s">
        <v>70</v>
      </c>
      <c r="C98" s="15" t="s">
        <v>890</v>
      </c>
      <c r="D98" s="15" t="s">
        <v>891</v>
      </c>
      <c r="E98" s="15" t="s">
        <v>892</v>
      </c>
      <c r="F98" s="15" t="s">
        <v>893</v>
      </c>
      <c r="G98" s="10" t="s">
        <v>855</v>
      </c>
      <c r="H98" s="10" t="s">
        <v>894</v>
      </c>
      <c r="I98" s="15" t="s">
        <v>788</v>
      </c>
      <c r="J98" s="21" t="s">
        <v>44</v>
      </c>
      <c r="K98" s="11" t="s">
        <v>143</v>
      </c>
      <c r="L98" s="11" t="s">
        <v>92</v>
      </c>
      <c r="M98" s="11">
        <v>3</v>
      </c>
      <c r="N98" s="15" t="s">
        <v>895</v>
      </c>
      <c r="O98" s="11" t="s">
        <v>109</v>
      </c>
      <c r="P98" s="15" t="s">
        <v>896</v>
      </c>
      <c r="Q98" s="20" t="s">
        <v>116</v>
      </c>
    </row>
    <row r="99" spans="1:17" ht="23.1" hidden="1">
      <c r="A99" s="33" t="s">
        <v>897</v>
      </c>
      <c r="B99" s="34" t="s">
        <v>70</v>
      </c>
      <c r="C99" s="15" t="s">
        <v>898</v>
      </c>
      <c r="D99" s="15" t="s">
        <v>899</v>
      </c>
      <c r="E99" s="15" t="s">
        <v>900</v>
      </c>
      <c r="F99" s="15" t="s">
        <v>901</v>
      </c>
      <c r="G99" s="10" t="s">
        <v>855</v>
      </c>
      <c r="H99" s="10" t="s">
        <v>902</v>
      </c>
      <c r="I99" s="15" t="s">
        <v>142</v>
      </c>
      <c r="J99" s="21" t="s">
        <v>44</v>
      </c>
      <c r="K99" s="11" t="s">
        <v>143</v>
      </c>
      <c r="L99" s="11" t="s">
        <v>90</v>
      </c>
      <c r="M99" s="11">
        <v>4</v>
      </c>
      <c r="N99" s="15" t="s">
        <v>903</v>
      </c>
      <c r="O99" s="11" t="s">
        <v>142</v>
      </c>
      <c r="P99" s="15" t="s">
        <v>203</v>
      </c>
      <c r="Q99" s="20" t="s">
        <v>116</v>
      </c>
    </row>
    <row r="100" spans="1:17" ht="23.1" hidden="1">
      <c r="A100" s="33" t="s">
        <v>904</v>
      </c>
      <c r="B100" s="34" t="s">
        <v>72</v>
      </c>
      <c r="C100" s="15" t="s">
        <v>905</v>
      </c>
      <c r="D100" s="15" t="s">
        <v>906</v>
      </c>
      <c r="E100" s="15" t="s">
        <v>907</v>
      </c>
      <c r="F100" s="15" t="s">
        <v>908</v>
      </c>
      <c r="G100" s="10" t="s">
        <v>909</v>
      </c>
      <c r="H100" s="10" t="s">
        <v>910</v>
      </c>
      <c r="I100" s="15" t="s">
        <v>250</v>
      </c>
      <c r="J100" s="19" t="s">
        <v>43</v>
      </c>
      <c r="K100" s="11" t="s">
        <v>143</v>
      </c>
      <c r="L100" s="11" t="s">
        <v>87</v>
      </c>
      <c r="M100" s="11">
        <v>2</v>
      </c>
      <c r="N100" s="15" t="s">
        <v>911</v>
      </c>
      <c r="O100" s="11" t="s">
        <v>103</v>
      </c>
      <c r="P100" s="15" t="s">
        <v>912</v>
      </c>
      <c r="Q100" s="20" t="s">
        <v>116</v>
      </c>
    </row>
    <row r="101" spans="1:17" ht="23.1" hidden="1">
      <c r="A101" s="33" t="s">
        <v>913</v>
      </c>
      <c r="B101" s="34" t="s">
        <v>72</v>
      </c>
      <c r="C101" s="15" t="s">
        <v>914</v>
      </c>
      <c r="D101" s="15" t="s">
        <v>915</v>
      </c>
      <c r="E101" s="15" t="s">
        <v>916</v>
      </c>
      <c r="F101" s="15" t="s">
        <v>917</v>
      </c>
      <c r="G101" s="10" t="s">
        <v>909</v>
      </c>
      <c r="H101" s="10" t="s">
        <v>918</v>
      </c>
      <c r="I101" s="15" t="s">
        <v>305</v>
      </c>
      <c r="J101" s="19" t="s">
        <v>43</v>
      </c>
      <c r="K101" s="11" t="s">
        <v>143</v>
      </c>
      <c r="L101" s="11" t="s">
        <v>90</v>
      </c>
      <c r="M101" s="11">
        <v>3</v>
      </c>
      <c r="N101" s="15" t="s">
        <v>919</v>
      </c>
      <c r="O101" s="11" t="s">
        <v>97</v>
      </c>
      <c r="P101" s="15" t="s">
        <v>313</v>
      </c>
      <c r="Q101" s="20" t="s">
        <v>116</v>
      </c>
    </row>
    <row r="102" spans="1:17" ht="23.1">
      <c r="A102" s="33" t="s">
        <v>920</v>
      </c>
      <c r="B102" s="34" t="s">
        <v>72</v>
      </c>
      <c r="C102" s="15" t="s">
        <v>921</v>
      </c>
      <c r="D102" s="15" t="s">
        <v>922</v>
      </c>
      <c r="E102" s="15" t="s">
        <v>923</v>
      </c>
      <c r="F102" s="15" t="s">
        <v>924</v>
      </c>
      <c r="G102" s="10" t="s">
        <v>909</v>
      </c>
      <c r="H102" s="10" t="s">
        <v>255</v>
      </c>
      <c r="I102" s="15" t="s">
        <v>250</v>
      </c>
      <c r="J102" s="19" t="s">
        <v>43</v>
      </c>
      <c r="K102" s="11" t="s">
        <v>143</v>
      </c>
      <c r="L102" s="11" t="s">
        <v>87</v>
      </c>
      <c r="M102" s="11">
        <v>1</v>
      </c>
      <c r="N102" s="15" t="s">
        <v>925</v>
      </c>
      <c r="O102" s="11" t="s">
        <v>103</v>
      </c>
      <c r="P102" s="15" t="s">
        <v>258</v>
      </c>
      <c r="Q102" s="20" t="s">
        <v>116</v>
      </c>
    </row>
    <row r="103" spans="1:17" ht="23.1" hidden="1">
      <c r="A103" s="33" t="s">
        <v>926</v>
      </c>
      <c r="B103" s="34" t="s">
        <v>72</v>
      </c>
      <c r="C103" s="15" t="s">
        <v>927</v>
      </c>
      <c r="D103" s="15" t="s">
        <v>928</v>
      </c>
      <c r="E103" s="15" t="s">
        <v>929</v>
      </c>
      <c r="F103" s="15" t="s">
        <v>930</v>
      </c>
      <c r="G103" s="10" t="s">
        <v>909</v>
      </c>
      <c r="H103" s="10" t="s">
        <v>931</v>
      </c>
      <c r="I103" s="15" t="s">
        <v>711</v>
      </c>
      <c r="J103" s="19" t="s">
        <v>43</v>
      </c>
      <c r="K103" s="11" t="s">
        <v>143</v>
      </c>
      <c r="L103" s="11" t="s">
        <v>90</v>
      </c>
      <c r="M103" s="11">
        <v>4</v>
      </c>
      <c r="N103" s="15" t="s">
        <v>932</v>
      </c>
      <c r="O103" s="11" t="s">
        <v>718</v>
      </c>
      <c r="P103" s="15" t="s">
        <v>933</v>
      </c>
      <c r="Q103" s="20" t="s">
        <v>116</v>
      </c>
    </row>
    <row r="104" spans="1:17" ht="23.1" hidden="1">
      <c r="A104" s="33" t="s">
        <v>934</v>
      </c>
      <c r="B104" s="34" t="s">
        <v>72</v>
      </c>
      <c r="C104" s="15" t="s">
        <v>935</v>
      </c>
      <c r="D104" s="15" t="s">
        <v>936</v>
      </c>
      <c r="E104" s="15" t="s">
        <v>937</v>
      </c>
      <c r="F104" s="15" t="s">
        <v>938</v>
      </c>
      <c r="G104" s="10" t="s">
        <v>909</v>
      </c>
      <c r="H104" s="10" t="s">
        <v>939</v>
      </c>
      <c r="I104" s="15" t="s">
        <v>170</v>
      </c>
      <c r="J104" s="19" t="s">
        <v>43</v>
      </c>
      <c r="K104" s="11" t="s">
        <v>143</v>
      </c>
      <c r="L104" s="11" t="s">
        <v>90</v>
      </c>
      <c r="M104" s="11">
        <v>4</v>
      </c>
      <c r="N104" s="15" t="s">
        <v>940</v>
      </c>
      <c r="O104" s="11" t="s">
        <v>718</v>
      </c>
      <c r="P104" s="15" t="s">
        <v>941</v>
      </c>
      <c r="Q104" s="20" t="s">
        <v>116</v>
      </c>
    </row>
    <row r="105" spans="1:17" ht="23.1" hidden="1">
      <c r="A105" s="33" t="s">
        <v>942</v>
      </c>
      <c r="B105" s="34" t="s">
        <v>72</v>
      </c>
      <c r="C105" s="15" t="s">
        <v>943</v>
      </c>
      <c r="D105" s="15" t="s">
        <v>944</v>
      </c>
      <c r="E105" s="15" t="s">
        <v>945</v>
      </c>
      <c r="F105" s="15" t="s">
        <v>946</v>
      </c>
      <c r="G105" s="10" t="s">
        <v>909</v>
      </c>
      <c r="H105" s="10" t="s">
        <v>947</v>
      </c>
      <c r="I105" s="15" t="s">
        <v>826</v>
      </c>
      <c r="J105" s="19" t="s">
        <v>43</v>
      </c>
      <c r="K105" s="11" t="s">
        <v>143</v>
      </c>
      <c r="L105" s="11" t="s">
        <v>91</v>
      </c>
      <c r="M105" s="11">
        <v>4</v>
      </c>
      <c r="N105" s="15" t="s">
        <v>948</v>
      </c>
      <c r="O105" s="11" t="s">
        <v>187</v>
      </c>
      <c r="P105" s="15" t="s">
        <v>949</v>
      </c>
      <c r="Q105" s="20" t="s">
        <v>116</v>
      </c>
    </row>
    <row r="106" spans="1:17" ht="23.1" hidden="1">
      <c r="A106" s="35" t="s">
        <v>950</v>
      </c>
      <c r="B106" s="36" t="s">
        <v>74</v>
      </c>
      <c r="C106" s="15" t="s">
        <v>951</v>
      </c>
      <c r="D106" s="15" t="s">
        <v>952</v>
      </c>
      <c r="E106" s="15" t="s">
        <v>953</v>
      </c>
      <c r="F106" s="15" t="s">
        <v>954</v>
      </c>
      <c r="G106" s="10" t="s">
        <v>955</v>
      </c>
      <c r="H106" s="10" t="s">
        <v>956</v>
      </c>
      <c r="I106" s="15" t="s">
        <v>268</v>
      </c>
      <c r="J106" s="19" t="s">
        <v>43</v>
      </c>
      <c r="K106" s="11" t="s">
        <v>143</v>
      </c>
      <c r="L106" s="11" t="s">
        <v>89</v>
      </c>
      <c r="M106" s="11">
        <v>3</v>
      </c>
      <c r="N106" s="15" t="s">
        <v>957</v>
      </c>
      <c r="O106" s="11" t="s">
        <v>718</v>
      </c>
      <c r="P106" s="15" t="s">
        <v>958</v>
      </c>
      <c r="Q106" s="20" t="s">
        <v>116</v>
      </c>
    </row>
    <row r="107" spans="1:17" ht="23.1" hidden="1">
      <c r="A107" s="35" t="s">
        <v>959</v>
      </c>
      <c r="B107" s="36" t="s">
        <v>74</v>
      </c>
      <c r="C107" s="15" t="s">
        <v>960</v>
      </c>
      <c r="D107" s="15" t="s">
        <v>961</v>
      </c>
      <c r="E107" s="15" t="s">
        <v>962</v>
      </c>
      <c r="F107" s="15" t="s">
        <v>963</v>
      </c>
      <c r="G107" s="10" t="s">
        <v>955</v>
      </c>
      <c r="H107" s="10" t="s">
        <v>964</v>
      </c>
      <c r="I107" s="15" t="s">
        <v>268</v>
      </c>
      <c r="J107" s="19" t="s">
        <v>43</v>
      </c>
      <c r="K107" s="11" t="s">
        <v>143</v>
      </c>
      <c r="L107" s="11" t="s">
        <v>89</v>
      </c>
      <c r="M107" s="11">
        <v>2</v>
      </c>
      <c r="N107" s="15" t="s">
        <v>965</v>
      </c>
      <c r="O107" s="11" t="s">
        <v>718</v>
      </c>
      <c r="P107" s="15" t="s">
        <v>966</v>
      </c>
      <c r="Q107" s="20" t="s">
        <v>116</v>
      </c>
    </row>
    <row r="108" spans="1:17" ht="34.5" hidden="1">
      <c r="A108" s="35" t="s">
        <v>967</v>
      </c>
      <c r="B108" s="36" t="s">
        <v>74</v>
      </c>
      <c r="C108" s="15" t="s">
        <v>968</v>
      </c>
      <c r="D108" s="15" t="s">
        <v>969</v>
      </c>
      <c r="E108" s="15" t="s">
        <v>970</v>
      </c>
      <c r="F108" s="15" t="s">
        <v>971</v>
      </c>
      <c r="G108" s="10" t="s">
        <v>955</v>
      </c>
      <c r="H108" s="10" t="s">
        <v>972</v>
      </c>
      <c r="I108" s="15" t="s">
        <v>314</v>
      </c>
      <c r="J108" s="19" t="s">
        <v>43</v>
      </c>
      <c r="K108" s="11" t="s">
        <v>143</v>
      </c>
      <c r="L108" s="11" t="s">
        <v>89</v>
      </c>
      <c r="M108" s="11">
        <v>4</v>
      </c>
      <c r="N108" s="15" t="s">
        <v>973</v>
      </c>
      <c r="O108" s="11" t="s">
        <v>974</v>
      </c>
      <c r="P108" s="15" t="s">
        <v>975</v>
      </c>
      <c r="Q108" s="20" t="s">
        <v>116</v>
      </c>
    </row>
    <row r="109" spans="1:17" ht="23.1" hidden="1">
      <c r="A109" s="35" t="s">
        <v>976</v>
      </c>
      <c r="B109" s="36" t="s">
        <v>74</v>
      </c>
      <c r="C109" s="15" t="s">
        <v>977</v>
      </c>
      <c r="D109" s="15" t="s">
        <v>978</v>
      </c>
      <c r="E109" s="15" t="s">
        <v>979</v>
      </c>
      <c r="F109" s="15" t="s">
        <v>980</v>
      </c>
      <c r="G109" s="10" t="s">
        <v>955</v>
      </c>
      <c r="H109" s="10" t="s">
        <v>956</v>
      </c>
      <c r="I109" s="15" t="s">
        <v>950</v>
      </c>
      <c r="J109" s="19" t="s">
        <v>43</v>
      </c>
      <c r="K109" s="11" t="s">
        <v>143</v>
      </c>
      <c r="L109" s="11" t="s">
        <v>87</v>
      </c>
      <c r="M109" s="11">
        <v>4</v>
      </c>
      <c r="N109" s="15" t="s">
        <v>981</v>
      </c>
      <c r="O109" s="11" t="s">
        <v>718</v>
      </c>
      <c r="P109" s="15" t="s">
        <v>982</v>
      </c>
      <c r="Q109" s="20" t="s">
        <v>116</v>
      </c>
    </row>
    <row r="110" spans="1:17" ht="23.1" hidden="1">
      <c r="A110" s="35" t="s">
        <v>983</v>
      </c>
      <c r="B110" s="36" t="s">
        <v>74</v>
      </c>
      <c r="C110" s="15" t="s">
        <v>984</v>
      </c>
      <c r="D110" s="15" t="s">
        <v>985</v>
      </c>
      <c r="E110" s="15" t="s">
        <v>986</v>
      </c>
      <c r="F110" s="15" t="s">
        <v>987</v>
      </c>
      <c r="G110" s="10" t="s">
        <v>955</v>
      </c>
      <c r="H110" s="10" t="s">
        <v>988</v>
      </c>
      <c r="I110" s="15" t="s">
        <v>142</v>
      </c>
      <c r="J110" s="19" t="s">
        <v>43</v>
      </c>
      <c r="K110" s="11" t="s">
        <v>143</v>
      </c>
      <c r="L110" s="11" t="s">
        <v>88</v>
      </c>
      <c r="M110" s="11">
        <v>4</v>
      </c>
      <c r="N110" s="15" t="s">
        <v>989</v>
      </c>
      <c r="O110" s="11" t="s">
        <v>142</v>
      </c>
      <c r="P110" s="15" t="s">
        <v>211</v>
      </c>
      <c r="Q110" s="20" t="s">
        <v>116</v>
      </c>
    </row>
    <row r="111" spans="1:17" ht="23.1" hidden="1">
      <c r="A111" s="35" t="s">
        <v>990</v>
      </c>
      <c r="B111" s="36" t="s">
        <v>74</v>
      </c>
      <c r="C111" s="15" t="s">
        <v>991</v>
      </c>
      <c r="D111" s="15" t="s">
        <v>992</v>
      </c>
      <c r="E111" s="15" t="s">
        <v>993</v>
      </c>
      <c r="F111" s="15" t="s">
        <v>994</v>
      </c>
      <c r="G111" s="10" t="s">
        <v>955</v>
      </c>
      <c r="H111" s="10" t="s">
        <v>995</v>
      </c>
      <c r="I111" s="15" t="s">
        <v>904</v>
      </c>
      <c r="J111" s="19" t="s">
        <v>43</v>
      </c>
      <c r="K111" s="11" t="s">
        <v>143</v>
      </c>
      <c r="L111" s="11" t="s">
        <v>87</v>
      </c>
      <c r="M111" s="11">
        <v>4</v>
      </c>
      <c r="N111" s="15" t="s">
        <v>996</v>
      </c>
      <c r="O111" s="11" t="s">
        <v>718</v>
      </c>
      <c r="P111" s="15" t="s">
        <v>997</v>
      </c>
      <c r="Q111" s="20" t="s">
        <v>116</v>
      </c>
    </row>
    <row r="112" spans="1:17" ht="45.95">
      <c r="A112" s="24" t="s">
        <v>998</v>
      </c>
      <c r="B112" s="25" t="s">
        <v>54</v>
      </c>
      <c r="C112" s="15" t="s">
        <v>999</v>
      </c>
      <c r="D112" s="15" t="s">
        <v>1000</v>
      </c>
      <c r="E112" s="15" t="s">
        <v>1001</v>
      </c>
      <c r="F112" s="15" t="s">
        <v>1002</v>
      </c>
      <c r="G112" s="10" t="s">
        <v>1003</v>
      </c>
      <c r="H112" s="10" t="s">
        <v>1004</v>
      </c>
      <c r="I112" s="15" t="s">
        <v>142</v>
      </c>
      <c r="J112" s="19" t="s">
        <v>43</v>
      </c>
      <c r="K112" s="11" t="s">
        <v>143</v>
      </c>
      <c r="L112" s="11" t="s">
        <v>91</v>
      </c>
      <c r="M112" s="11">
        <v>1</v>
      </c>
      <c r="N112" s="15" t="s">
        <v>1005</v>
      </c>
      <c r="O112" s="11" t="s">
        <v>1006</v>
      </c>
      <c r="P112" s="15" t="s">
        <v>1007</v>
      </c>
      <c r="Q112" s="20" t="s">
        <v>116</v>
      </c>
    </row>
    <row r="113" spans="1:17" ht="34.5">
      <c r="A113" s="24" t="s">
        <v>380</v>
      </c>
      <c r="B113" s="25" t="s">
        <v>54</v>
      </c>
      <c r="C113" s="15" t="s">
        <v>1008</v>
      </c>
      <c r="D113" s="15" t="s">
        <v>1009</v>
      </c>
      <c r="E113" s="15" t="s">
        <v>1010</v>
      </c>
      <c r="F113" s="15" t="s">
        <v>1011</v>
      </c>
      <c r="G113" s="10" t="s">
        <v>1003</v>
      </c>
      <c r="H113" s="10" t="s">
        <v>1012</v>
      </c>
      <c r="I113" s="15" t="s">
        <v>998</v>
      </c>
      <c r="J113" s="19" t="s">
        <v>43</v>
      </c>
      <c r="K113" s="11" t="s">
        <v>143</v>
      </c>
      <c r="L113" s="11" t="s">
        <v>91</v>
      </c>
      <c r="M113" s="11">
        <v>1</v>
      </c>
      <c r="N113" s="15" t="s">
        <v>522</v>
      </c>
      <c r="O113" s="11" t="s">
        <v>1013</v>
      </c>
      <c r="P113" s="15" t="s">
        <v>1007</v>
      </c>
      <c r="Q113" s="20" t="s">
        <v>116</v>
      </c>
    </row>
    <row r="114" spans="1:17" ht="34.5">
      <c r="A114" s="24" t="s">
        <v>1014</v>
      </c>
      <c r="B114" s="25" t="s">
        <v>54</v>
      </c>
      <c r="C114" s="15" t="s">
        <v>1015</v>
      </c>
      <c r="D114" s="15" t="s">
        <v>1016</v>
      </c>
      <c r="E114" s="15" t="s">
        <v>1017</v>
      </c>
      <c r="F114" s="15" t="s">
        <v>1018</v>
      </c>
      <c r="G114" s="10" t="s">
        <v>1003</v>
      </c>
      <c r="H114" s="10" t="s">
        <v>1019</v>
      </c>
      <c r="I114" s="15" t="s">
        <v>998</v>
      </c>
      <c r="J114" s="19" t="s">
        <v>43</v>
      </c>
      <c r="K114" s="11" t="s">
        <v>143</v>
      </c>
      <c r="L114" s="11" t="s">
        <v>90</v>
      </c>
      <c r="M114" s="11">
        <v>1</v>
      </c>
      <c r="N114" s="15" t="s">
        <v>1020</v>
      </c>
      <c r="O114" s="11" t="s">
        <v>1021</v>
      </c>
      <c r="P114" s="15" t="s">
        <v>1022</v>
      </c>
      <c r="Q114" s="20" t="s">
        <v>116</v>
      </c>
    </row>
    <row r="115" spans="1:17" ht="23.1">
      <c r="A115" s="24" t="s">
        <v>1023</v>
      </c>
      <c r="B115" s="25" t="s">
        <v>54</v>
      </c>
      <c r="C115" s="15" t="s">
        <v>1024</v>
      </c>
      <c r="D115" s="15" t="s">
        <v>1025</v>
      </c>
      <c r="E115" s="15" t="s">
        <v>1026</v>
      </c>
      <c r="F115" s="15" t="s">
        <v>1027</v>
      </c>
      <c r="G115" s="10" t="s">
        <v>1003</v>
      </c>
      <c r="H115" s="10" t="s">
        <v>1028</v>
      </c>
      <c r="I115" s="15" t="s">
        <v>998</v>
      </c>
      <c r="J115" s="19" t="s">
        <v>43</v>
      </c>
      <c r="K115" s="11" t="s">
        <v>143</v>
      </c>
      <c r="L115" s="11" t="s">
        <v>90</v>
      </c>
      <c r="M115" s="11">
        <v>1</v>
      </c>
      <c r="N115" s="15" t="s">
        <v>1029</v>
      </c>
      <c r="O115" s="11" t="s">
        <v>1030</v>
      </c>
      <c r="P115" s="15" t="s">
        <v>1022</v>
      </c>
      <c r="Q115" s="20" t="s">
        <v>116</v>
      </c>
    </row>
    <row r="116" spans="1:17" ht="23.1">
      <c r="A116" s="24" t="s">
        <v>1031</v>
      </c>
      <c r="B116" s="25" t="s">
        <v>54</v>
      </c>
      <c r="C116" s="15" t="s">
        <v>1032</v>
      </c>
      <c r="D116" s="15" t="s">
        <v>1033</v>
      </c>
      <c r="E116" s="15" t="s">
        <v>1034</v>
      </c>
      <c r="F116" s="15" t="s">
        <v>1035</v>
      </c>
      <c r="G116" s="10" t="s">
        <v>1003</v>
      </c>
      <c r="H116" s="10" t="s">
        <v>1036</v>
      </c>
      <c r="I116" s="15" t="s">
        <v>998</v>
      </c>
      <c r="J116" s="19" t="s">
        <v>43</v>
      </c>
      <c r="K116" s="11" t="s">
        <v>143</v>
      </c>
      <c r="L116" s="11" t="s">
        <v>92</v>
      </c>
      <c r="M116" s="11">
        <v>1</v>
      </c>
      <c r="N116" s="15" t="s">
        <v>1037</v>
      </c>
      <c r="O116" s="11" t="s">
        <v>101</v>
      </c>
      <c r="P116" s="15" t="s">
        <v>1038</v>
      </c>
      <c r="Q116" s="20" t="s">
        <v>116</v>
      </c>
    </row>
    <row r="117" spans="1:17" ht="23.1">
      <c r="A117" s="24" t="s">
        <v>1039</v>
      </c>
      <c r="B117" s="25" t="s">
        <v>54</v>
      </c>
      <c r="C117" s="15" t="s">
        <v>1040</v>
      </c>
      <c r="D117" s="15" t="s">
        <v>1041</v>
      </c>
      <c r="E117" s="15" t="s">
        <v>1042</v>
      </c>
      <c r="F117" s="15" t="s">
        <v>1043</v>
      </c>
      <c r="G117" s="10" t="s">
        <v>1003</v>
      </c>
      <c r="H117" s="10" t="s">
        <v>1044</v>
      </c>
      <c r="I117" s="15" t="s">
        <v>998</v>
      </c>
      <c r="J117" s="19" t="s">
        <v>43</v>
      </c>
      <c r="K117" s="11" t="s">
        <v>143</v>
      </c>
      <c r="L117" s="11" t="s">
        <v>92</v>
      </c>
      <c r="M117" s="11">
        <v>1</v>
      </c>
      <c r="N117" s="15" t="s">
        <v>1045</v>
      </c>
      <c r="O117" s="11" t="s">
        <v>1046</v>
      </c>
      <c r="P117" s="15" t="s">
        <v>1038</v>
      </c>
      <c r="Q117" s="20" t="s">
        <v>116</v>
      </c>
    </row>
    <row r="118" spans="1:17" ht="34.5">
      <c r="A118" s="24" t="s">
        <v>1047</v>
      </c>
      <c r="B118" s="25" t="s">
        <v>54</v>
      </c>
      <c r="C118" s="15" t="s">
        <v>1048</v>
      </c>
      <c r="D118" s="15" t="s">
        <v>1049</v>
      </c>
      <c r="E118" s="15" t="s">
        <v>1050</v>
      </c>
      <c r="F118" s="15" t="s">
        <v>1051</v>
      </c>
      <c r="G118" s="10" t="s">
        <v>1003</v>
      </c>
      <c r="H118" s="10" t="s">
        <v>1052</v>
      </c>
      <c r="I118" s="15" t="s">
        <v>998</v>
      </c>
      <c r="J118" s="19" t="s">
        <v>43</v>
      </c>
      <c r="K118" s="11" t="s">
        <v>143</v>
      </c>
      <c r="L118" s="11" t="s">
        <v>91</v>
      </c>
      <c r="M118" s="11">
        <v>1</v>
      </c>
      <c r="N118" s="15" t="s">
        <v>1053</v>
      </c>
      <c r="O118" s="11" t="s">
        <v>1006</v>
      </c>
      <c r="P118" s="15" t="s">
        <v>1054</v>
      </c>
      <c r="Q118" s="20" t="s">
        <v>116</v>
      </c>
    </row>
    <row r="119" spans="1:17" ht="34.5">
      <c r="A119" s="24" t="s">
        <v>422</v>
      </c>
      <c r="B119" s="25" t="s">
        <v>54</v>
      </c>
      <c r="C119" s="15" t="s">
        <v>1055</v>
      </c>
      <c r="D119" s="15" t="s">
        <v>1056</v>
      </c>
      <c r="E119" s="15" t="s">
        <v>1057</v>
      </c>
      <c r="F119" s="15" t="s">
        <v>1058</v>
      </c>
      <c r="G119" s="10" t="s">
        <v>1003</v>
      </c>
      <c r="H119" s="10" t="s">
        <v>1004</v>
      </c>
      <c r="I119" s="15" t="s">
        <v>1047</v>
      </c>
      <c r="J119" s="19" t="s">
        <v>43</v>
      </c>
      <c r="K119" s="11" t="s">
        <v>143</v>
      </c>
      <c r="L119" s="11" t="s">
        <v>91</v>
      </c>
      <c r="M119" s="11">
        <v>1</v>
      </c>
      <c r="N119" s="15" t="s">
        <v>1059</v>
      </c>
      <c r="O119" s="11" t="s">
        <v>1060</v>
      </c>
      <c r="P119" s="15" t="s">
        <v>1061</v>
      </c>
      <c r="Q119" s="20" t="s">
        <v>116</v>
      </c>
    </row>
    <row r="120" spans="1:17" ht="23.1">
      <c r="A120" s="24" t="s">
        <v>1062</v>
      </c>
      <c r="B120" s="25" t="s">
        <v>54</v>
      </c>
      <c r="C120" s="15" t="s">
        <v>1063</v>
      </c>
      <c r="D120" s="15" t="s">
        <v>1064</v>
      </c>
      <c r="E120" s="15" t="s">
        <v>1065</v>
      </c>
      <c r="F120" s="15" t="s">
        <v>1066</v>
      </c>
      <c r="G120" s="10" t="s">
        <v>1003</v>
      </c>
      <c r="H120" s="10" t="s">
        <v>1012</v>
      </c>
      <c r="I120" s="15" t="s">
        <v>1047</v>
      </c>
      <c r="J120" s="19" t="s">
        <v>43</v>
      </c>
      <c r="K120" s="11" t="s">
        <v>143</v>
      </c>
      <c r="L120" s="11" t="s">
        <v>90</v>
      </c>
      <c r="M120" s="11">
        <v>1</v>
      </c>
      <c r="N120" s="15" t="s">
        <v>1067</v>
      </c>
      <c r="O120" s="11" t="s">
        <v>101</v>
      </c>
      <c r="P120" s="15" t="s">
        <v>1068</v>
      </c>
      <c r="Q120" s="20" t="s">
        <v>116</v>
      </c>
    </row>
    <row r="121" spans="1:17" ht="34.5" hidden="1">
      <c r="A121" s="24" t="s">
        <v>1069</v>
      </c>
      <c r="B121" s="25" t="s">
        <v>54</v>
      </c>
      <c r="C121" s="15" t="s">
        <v>1070</v>
      </c>
      <c r="D121" s="15" t="s">
        <v>1071</v>
      </c>
      <c r="E121" s="15" t="s">
        <v>1072</v>
      </c>
      <c r="F121" s="15" t="s">
        <v>1073</v>
      </c>
      <c r="G121" s="10" t="s">
        <v>1003</v>
      </c>
      <c r="H121" s="10" t="s">
        <v>1074</v>
      </c>
      <c r="I121" s="15" t="s">
        <v>1047</v>
      </c>
      <c r="J121" s="19" t="s">
        <v>43</v>
      </c>
      <c r="K121" s="11" t="s">
        <v>143</v>
      </c>
      <c r="L121" s="11" t="s">
        <v>91</v>
      </c>
      <c r="M121" s="11">
        <v>2</v>
      </c>
      <c r="N121" s="15" t="s">
        <v>1075</v>
      </c>
      <c r="O121" s="11" t="s">
        <v>1030</v>
      </c>
      <c r="P121" s="15" t="s">
        <v>1076</v>
      </c>
      <c r="Q121" s="20" t="s">
        <v>116</v>
      </c>
    </row>
    <row r="122" spans="1:17" ht="34.5" hidden="1">
      <c r="A122" s="24" t="s">
        <v>1077</v>
      </c>
      <c r="B122" s="25" t="s">
        <v>54</v>
      </c>
      <c r="C122" s="15" t="s">
        <v>1078</v>
      </c>
      <c r="D122" s="15" t="s">
        <v>1079</v>
      </c>
      <c r="E122" s="15" t="s">
        <v>1080</v>
      </c>
      <c r="F122" s="15" t="s">
        <v>1081</v>
      </c>
      <c r="G122" s="10" t="s">
        <v>1003</v>
      </c>
      <c r="H122" s="10" t="s">
        <v>1082</v>
      </c>
      <c r="I122" s="15" t="s">
        <v>1047</v>
      </c>
      <c r="J122" s="19" t="s">
        <v>43</v>
      </c>
      <c r="K122" s="11" t="s">
        <v>143</v>
      </c>
      <c r="L122" s="11" t="s">
        <v>92</v>
      </c>
      <c r="M122" s="11">
        <v>2</v>
      </c>
      <c r="N122" s="15" t="s">
        <v>1083</v>
      </c>
      <c r="O122" s="11" t="s">
        <v>1084</v>
      </c>
      <c r="P122" s="15" t="s">
        <v>1085</v>
      </c>
      <c r="Q122" s="20" t="s">
        <v>116</v>
      </c>
    </row>
    <row r="123" spans="1:17" ht="34.5" hidden="1">
      <c r="A123" s="24" t="s">
        <v>1086</v>
      </c>
      <c r="B123" s="25" t="s">
        <v>54</v>
      </c>
      <c r="C123" s="15" t="s">
        <v>1087</v>
      </c>
      <c r="D123" s="15" t="s">
        <v>1088</v>
      </c>
      <c r="E123" s="15" t="s">
        <v>1089</v>
      </c>
      <c r="F123" s="15" t="s">
        <v>1090</v>
      </c>
      <c r="G123" s="10" t="s">
        <v>411</v>
      </c>
      <c r="H123" s="10" t="s">
        <v>1091</v>
      </c>
      <c r="I123" s="15" t="s">
        <v>1092</v>
      </c>
      <c r="J123" s="19" t="s">
        <v>43</v>
      </c>
      <c r="K123" s="11" t="s">
        <v>143</v>
      </c>
      <c r="L123" s="11" t="s">
        <v>91</v>
      </c>
      <c r="M123" s="11">
        <v>2</v>
      </c>
      <c r="N123" s="15" t="s">
        <v>1093</v>
      </c>
      <c r="O123" s="11" t="s">
        <v>1094</v>
      </c>
      <c r="P123" s="15" t="s">
        <v>1095</v>
      </c>
      <c r="Q123" s="20" t="s">
        <v>116</v>
      </c>
    </row>
    <row r="124" spans="1:17" ht="23.1" hidden="1">
      <c r="A124" s="24" t="s">
        <v>1096</v>
      </c>
      <c r="B124" s="25" t="s">
        <v>54</v>
      </c>
      <c r="C124" s="15" t="s">
        <v>1097</v>
      </c>
      <c r="D124" s="15" t="s">
        <v>1098</v>
      </c>
      <c r="E124" s="15" t="s">
        <v>1099</v>
      </c>
      <c r="F124" s="15" t="s">
        <v>1100</v>
      </c>
      <c r="G124" s="10" t="s">
        <v>411</v>
      </c>
      <c r="H124" s="10" t="s">
        <v>1101</v>
      </c>
      <c r="I124" s="15" t="s">
        <v>1086</v>
      </c>
      <c r="J124" s="19" t="s">
        <v>43</v>
      </c>
      <c r="K124" s="11" t="s">
        <v>143</v>
      </c>
      <c r="L124" s="11" t="s">
        <v>91</v>
      </c>
      <c r="M124" s="11">
        <v>2</v>
      </c>
      <c r="N124" s="15" t="s">
        <v>1102</v>
      </c>
      <c r="O124" s="11" t="s">
        <v>97</v>
      </c>
      <c r="P124" s="15" t="s">
        <v>1103</v>
      </c>
      <c r="Q124" s="20" t="s">
        <v>116</v>
      </c>
    </row>
    <row r="125" spans="1:17" ht="23.1" hidden="1">
      <c r="A125" s="24" t="s">
        <v>1104</v>
      </c>
      <c r="B125" s="25" t="s">
        <v>54</v>
      </c>
      <c r="C125" s="15" t="s">
        <v>1105</v>
      </c>
      <c r="D125" s="15" t="s">
        <v>1106</v>
      </c>
      <c r="E125" s="15" t="s">
        <v>1107</v>
      </c>
      <c r="F125" s="15" t="s">
        <v>1108</v>
      </c>
      <c r="G125" s="10" t="s">
        <v>855</v>
      </c>
      <c r="H125" s="10" t="s">
        <v>1109</v>
      </c>
      <c r="I125" s="15" t="s">
        <v>1096</v>
      </c>
      <c r="J125" s="19" t="s">
        <v>43</v>
      </c>
      <c r="K125" s="11" t="s">
        <v>143</v>
      </c>
      <c r="L125" s="11" t="s">
        <v>92</v>
      </c>
      <c r="M125" s="11">
        <v>4</v>
      </c>
      <c r="N125" s="15" t="s">
        <v>1110</v>
      </c>
      <c r="O125" s="11" t="s">
        <v>97</v>
      </c>
      <c r="P125" s="15" t="s">
        <v>1111</v>
      </c>
      <c r="Q125" s="20" t="s">
        <v>116</v>
      </c>
    </row>
    <row r="126" spans="1:17" ht="23.1" hidden="1">
      <c r="A126" s="24" t="s">
        <v>1112</v>
      </c>
      <c r="B126" s="25" t="s">
        <v>54</v>
      </c>
      <c r="C126" s="15" t="s">
        <v>1113</v>
      </c>
      <c r="D126" s="15" t="s">
        <v>1114</v>
      </c>
      <c r="E126" s="15" t="s">
        <v>1115</v>
      </c>
      <c r="F126" s="15" t="s">
        <v>1116</v>
      </c>
      <c r="G126" s="10" t="s">
        <v>776</v>
      </c>
      <c r="H126" s="10" t="s">
        <v>1109</v>
      </c>
      <c r="I126" s="15" t="s">
        <v>1096</v>
      </c>
      <c r="J126" s="19" t="s">
        <v>43</v>
      </c>
      <c r="K126" s="11" t="s">
        <v>143</v>
      </c>
      <c r="L126" s="11" t="s">
        <v>92</v>
      </c>
      <c r="M126" s="11">
        <v>4</v>
      </c>
      <c r="N126" s="15" t="s">
        <v>1117</v>
      </c>
      <c r="O126" s="11" t="s">
        <v>97</v>
      </c>
      <c r="P126" s="15" t="s">
        <v>1111</v>
      </c>
      <c r="Q126" s="20" t="s">
        <v>116</v>
      </c>
    </row>
    <row r="127" spans="1:17" ht="34.5">
      <c r="A127" s="37" t="s">
        <v>1118</v>
      </c>
      <c r="B127" s="38" t="s">
        <v>76</v>
      </c>
      <c r="C127" s="15" t="s">
        <v>1119</v>
      </c>
      <c r="D127" s="15" t="s">
        <v>1120</v>
      </c>
      <c r="E127" s="15" t="s">
        <v>1121</v>
      </c>
      <c r="F127" s="15" t="s">
        <v>1122</v>
      </c>
      <c r="G127" s="10" t="s">
        <v>217</v>
      </c>
      <c r="H127" s="10" t="s">
        <v>1123</v>
      </c>
      <c r="I127" s="15" t="s">
        <v>380</v>
      </c>
      <c r="J127" s="19" t="s">
        <v>43</v>
      </c>
      <c r="K127" s="11" t="s">
        <v>143</v>
      </c>
      <c r="L127" s="11" t="s">
        <v>92</v>
      </c>
      <c r="M127" s="11">
        <v>1</v>
      </c>
      <c r="N127" s="15" t="s">
        <v>1124</v>
      </c>
      <c r="O127" s="11" t="s">
        <v>1125</v>
      </c>
      <c r="P127" s="15" t="s">
        <v>1126</v>
      </c>
      <c r="Q127" s="20" t="s">
        <v>116</v>
      </c>
    </row>
    <row r="128" spans="1:17" ht="34.5">
      <c r="A128" s="37" t="s">
        <v>1127</v>
      </c>
      <c r="B128" s="38" t="s">
        <v>76</v>
      </c>
      <c r="C128" s="15" t="s">
        <v>1128</v>
      </c>
      <c r="D128" s="15" t="s">
        <v>1129</v>
      </c>
      <c r="E128" s="15" t="s">
        <v>1130</v>
      </c>
      <c r="F128" s="15" t="s">
        <v>1131</v>
      </c>
      <c r="G128" s="10" t="s">
        <v>217</v>
      </c>
      <c r="H128" s="10" t="s">
        <v>1132</v>
      </c>
      <c r="I128" s="15" t="s">
        <v>1118</v>
      </c>
      <c r="J128" s="19" t="s">
        <v>43</v>
      </c>
      <c r="K128" s="11" t="s">
        <v>143</v>
      </c>
      <c r="L128" s="11" t="s">
        <v>92</v>
      </c>
      <c r="M128" s="11">
        <v>1</v>
      </c>
      <c r="N128" s="15" t="s">
        <v>1133</v>
      </c>
      <c r="O128" s="11" t="s">
        <v>107</v>
      </c>
      <c r="P128" s="15" t="s">
        <v>1126</v>
      </c>
      <c r="Q128" s="20" t="s">
        <v>116</v>
      </c>
    </row>
    <row r="129" spans="1:17" ht="34.5" hidden="1">
      <c r="A129" s="37" t="s">
        <v>1134</v>
      </c>
      <c r="B129" s="38" t="s">
        <v>76</v>
      </c>
      <c r="C129" s="15" t="s">
        <v>1135</v>
      </c>
      <c r="D129" s="15" t="s">
        <v>1136</v>
      </c>
      <c r="E129" s="15" t="s">
        <v>1137</v>
      </c>
      <c r="F129" s="15" t="s">
        <v>1138</v>
      </c>
      <c r="G129" s="10" t="s">
        <v>217</v>
      </c>
      <c r="H129" s="10" t="s">
        <v>1139</v>
      </c>
      <c r="I129" s="15" t="s">
        <v>1118</v>
      </c>
      <c r="J129" s="19" t="s">
        <v>43</v>
      </c>
      <c r="K129" s="11" t="s">
        <v>143</v>
      </c>
      <c r="L129" s="11" t="s">
        <v>90</v>
      </c>
      <c r="M129" s="11">
        <v>3</v>
      </c>
      <c r="N129" s="15" t="s">
        <v>1140</v>
      </c>
      <c r="O129" s="11" t="s">
        <v>1141</v>
      </c>
      <c r="P129" s="15" t="s">
        <v>1142</v>
      </c>
      <c r="Q129" s="20" t="s">
        <v>116</v>
      </c>
    </row>
    <row r="130" spans="1:17" ht="34.5" hidden="1">
      <c r="A130" s="37" t="s">
        <v>1143</v>
      </c>
      <c r="B130" s="38" t="s">
        <v>76</v>
      </c>
      <c r="C130" s="15" t="s">
        <v>1144</v>
      </c>
      <c r="D130" s="15" t="s">
        <v>1145</v>
      </c>
      <c r="E130" s="15" t="s">
        <v>1146</v>
      </c>
      <c r="F130" s="15" t="s">
        <v>1147</v>
      </c>
      <c r="G130" s="10" t="s">
        <v>217</v>
      </c>
      <c r="H130" s="10" t="s">
        <v>1148</v>
      </c>
      <c r="I130" s="15" t="s">
        <v>1134</v>
      </c>
      <c r="J130" s="19" t="s">
        <v>43</v>
      </c>
      <c r="K130" s="11" t="s">
        <v>143</v>
      </c>
      <c r="L130" s="11" t="s">
        <v>90</v>
      </c>
      <c r="M130" s="11">
        <v>3</v>
      </c>
      <c r="N130" s="15" t="s">
        <v>1149</v>
      </c>
      <c r="O130" s="11" t="s">
        <v>1141</v>
      </c>
      <c r="P130" s="15" t="s">
        <v>1150</v>
      </c>
      <c r="Q130" s="20" t="s">
        <v>116</v>
      </c>
    </row>
    <row r="131" spans="1:17" ht="34.5" hidden="1">
      <c r="A131" s="37" t="s">
        <v>655</v>
      </c>
      <c r="B131" s="38" t="s">
        <v>76</v>
      </c>
      <c r="C131" s="15" t="s">
        <v>1151</v>
      </c>
      <c r="D131" s="15" t="s">
        <v>1152</v>
      </c>
      <c r="E131" s="15" t="s">
        <v>1153</v>
      </c>
      <c r="F131" s="15" t="s">
        <v>1154</v>
      </c>
      <c r="G131" s="10" t="s">
        <v>593</v>
      </c>
      <c r="H131" s="10" t="s">
        <v>1155</v>
      </c>
      <c r="I131" s="15" t="s">
        <v>1143</v>
      </c>
      <c r="J131" s="19" t="s">
        <v>43</v>
      </c>
      <c r="K131" s="11" t="s">
        <v>143</v>
      </c>
      <c r="L131" s="11" t="s">
        <v>92</v>
      </c>
      <c r="M131" s="11">
        <v>3</v>
      </c>
      <c r="N131" s="15" t="s">
        <v>1156</v>
      </c>
      <c r="O131" s="11" t="s">
        <v>107</v>
      </c>
      <c r="P131" s="15" t="s">
        <v>1157</v>
      </c>
      <c r="Q131" s="20" t="s">
        <v>116</v>
      </c>
    </row>
    <row r="132" spans="1:17" ht="34.5" hidden="1">
      <c r="A132" s="37" t="s">
        <v>1158</v>
      </c>
      <c r="B132" s="38" t="s">
        <v>76</v>
      </c>
      <c r="C132" s="15" t="s">
        <v>1159</v>
      </c>
      <c r="D132" s="15" t="s">
        <v>1160</v>
      </c>
      <c r="E132" s="15" t="s">
        <v>1161</v>
      </c>
      <c r="F132" s="15" t="s">
        <v>1162</v>
      </c>
      <c r="G132" s="10" t="s">
        <v>776</v>
      </c>
      <c r="H132" s="10" t="s">
        <v>1163</v>
      </c>
      <c r="I132" s="15" t="s">
        <v>655</v>
      </c>
      <c r="J132" s="19" t="s">
        <v>43</v>
      </c>
      <c r="K132" s="11" t="s">
        <v>143</v>
      </c>
      <c r="L132" s="11" t="s">
        <v>92</v>
      </c>
      <c r="M132" s="11">
        <v>3</v>
      </c>
      <c r="N132" s="15" t="s">
        <v>1164</v>
      </c>
      <c r="O132" s="11" t="s">
        <v>107</v>
      </c>
      <c r="P132" s="15" t="s">
        <v>1165</v>
      </c>
      <c r="Q132" s="20" t="s">
        <v>116</v>
      </c>
    </row>
    <row r="133" spans="1:17" ht="23.1" hidden="1">
      <c r="A133" s="37" t="s">
        <v>1166</v>
      </c>
      <c r="B133" s="38" t="s">
        <v>76</v>
      </c>
      <c r="C133" s="15" t="s">
        <v>1167</v>
      </c>
      <c r="D133" s="15" t="s">
        <v>1168</v>
      </c>
      <c r="E133" s="15" t="s">
        <v>1169</v>
      </c>
      <c r="F133" s="15" t="s">
        <v>1170</v>
      </c>
      <c r="G133" s="10" t="s">
        <v>593</v>
      </c>
      <c r="H133" s="10" t="s">
        <v>739</v>
      </c>
      <c r="I133" s="15" t="s">
        <v>1143</v>
      </c>
      <c r="J133" s="19" t="s">
        <v>43</v>
      </c>
      <c r="K133" s="11" t="s">
        <v>143</v>
      </c>
      <c r="L133" s="11" t="s">
        <v>90</v>
      </c>
      <c r="M133" s="11">
        <v>4</v>
      </c>
      <c r="N133" s="15" t="s">
        <v>843</v>
      </c>
      <c r="O133" s="11" t="s">
        <v>111</v>
      </c>
      <c r="P133" s="15" t="s">
        <v>1171</v>
      </c>
      <c r="Q133" s="20" t="s">
        <v>116</v>
      </c>
    </row>
    <row r="134" spans="1:17" ht="34.5" hidden="1">
      <c r="A134" s="37" t="s">
        <v>1172</v>
      </c>
      <c r="B134" s="38" t="s">
        <v>76</v>
      </c>
      <c r="C134" s="15" t="s">
        <v>1173</v>
      </c>
      <c r="D134" s="15" t="s">
        <v>1174</v>
      </c>
      <c r="E134" s="15" t="s">
        <v>1175</v>
      </c>
      <c r="F134" s="15" t="s">
        <v>1176</v>
      </c>
      <c r="G134" s="10" t="s">
        <v>855</v>
      </c>
      <c r="H134" s="10" t="s">
        <v>1177</v>
      </c>
      <c r="I134" s="15" t="s">
        <v>1118</v>
      </c>
      <c r="J134" s="19" t="s">
        <v>43</v>
      </c>
      <c r="K134" s="11" t="s">
        <v>143</v>
      </c>
      <c r="L134" s="11" t="s">
        <v>87</v>
      </c>
      <c r="M134" s="11">
        <v>3</v>
      </c>
      <c r="N134" s="15" t="s">
        <v>1178</v>
      </c>
      <c r="O134" s="11" t="s">
        <v>107</v>
      </c>
      <c r="P134" s="15" t="s">
        <v>1157</v>
      </c>
      <c r="Q134" s="20" t="s">
        <v>116</v>
      </c>
    </row>
    <row r="135" spans="1:17" ht="34.5" hidden="1">
      <c r="A135" s="39" t="s">
        <v>1179</v>
      </c>
      <c r="B135" s="40" t="s">
        <v>78</v>
      </c>
      <c r="C135" s="15" t="s">
        <v>1180</v>
      </c>
      <c r="D135" s="15" t="s">
        <v>1181</v>
      </c>
      <c r="E135" s="15" t="s">
        <v>1182</v>
      </c>
      <c r="F135" s="15" t="s">
        <v>1183</v>
      </c>
      <c r="G135" s="10" t="s">
        <v>217</v>
      </c>
      <c r="H135" s="10" t="s">
        <v>1184</v>
      </c>
      <c r="I135" s="15" t="s">
        <v>268</v>
      </c>
      <c r="J135" s="19" t="s">
        <v>43</v>
      </c>
      <c r="K135" s="11" t="s">
        <v>143</v>
      </c>
      <c r="L135" s="11" t="s">
        <v>90</v>
      </c>
      <c r="M135" s="11">
        <v>2</v>
      </c>
      <c r="N135" s="15" t="s">
        <v>1185</v>
      </c>
      <c r="O135" s="11" t="s">
        <v>99</v>
      </c>
      <c r="P135" s="15" t="s">
        <v>1186</v>
      </c>
      <c r="Q135" s="20" t="s">
        <v>116</v>
      </c>
    </row>
    <row r="136" spans="1:17" ht="23.1" hidden="1">
      <c r="A136" s="39" t="s">
        <v>1187</v>
      </c>
      <c r="B136" s="40" t="s">
        <v>78</v>
      </c>
      <c r="C136" s="15" t="s">
        <v>1188</v>
      </c>
      <c r="D136" s="15" t="s">
        <v>1189</v>
      </c>
      <c r="E136" s="15" t="s">
        <v>1190</v>
      </c>
      <c r="F136" s="15" t="s">
        <v>1191</v>
      </c>
      <c r="G136" s="10" t="s">
        <v>217</v>
      </c>
      <c r="H136" s="10" t="s">
        <v>1184</v>
      </c>
      <c r="I136" s="15" t="s">
        <v>1179</v>
      </c>
      <c r="J136" s="19" t="s">
        <v>43</v>
      </c>
      <c r="K136" s="11" t="s">
        <v>143</v>
      </c>
      <c r="L136" s="11" t="s">
        <v>90</v>
      </c>
      <c r="M136" s="11">
        <v>2</v>
      </c>
      <c r="N136" s="15" t="s">
        <v>1192</v>
      </c>
      <c r="O136" s="11" t="s">
        <v>99</v>
      </c>
      <c r="P136" s="15" t="s">
        <v>1186</v>
      </c>
      <c r="Q136" s="20" t="s">
        <v>116</v>
      </c>
    </row>
    <row r="137" spans="1:17" ht="23.1" hidden="1">
      <c r="A137" s="39" t="s">
        <v>1193</v>
      </c>
      <c r="B137" s="40" t="s">
        <v>78</v>
      </c>
      <c r="C137" s="15" t="s">
        <v>1194</v>
      </c>
      <c r="D137" s="15" t="s">
        <v>1195</v>
      </c>
      <c r="E137" s="15" t="s">
        <v>1196</v>
      </c>
      <c r="F137" s="15" t="s">
        <v>1197</v>
      </c>
      <c r="G137" s="10" t="s">
        <v>217</v>
      </c>
      <c r="H137" s="10" t="s">
        <v>1184</v>
      </c>
      <c r="I137" s="15" t="s">
        <v>1187</v>
      </c>
      <c r="J137" s="19" t="s">
        <v>43</v>
      </c>
      <c r="K137" s="11" t="s">
        <v>143</v>
      </c>
      <c r="L137" s="11" t="s">
        <v>90</v>
      </c>
      <c r="M137" s="11">
        <v>2</v>
      </c>
      <c r="N137" s="15" t="s">
        <v>1198</v>
      </c>
      <c r="O137" s="11" t="s">
        <v>99</v>
      </c>
      <c r="P137" s="15" t="s">
        <v>1199</v>
      </c>
      <c r="Q137" s="20" t="s">
        <v>116</v>
      </c>
    </row>
    <row r="138" spans="1:17" ht="23.1" hidden="1">
      <c r="A138" s="39" t="s">
        <v>1200</v>
      </c>
      <c r="B138" s="40" t="s">
        <v>78</v>
      </c>
      <c r="C138" s="15" t="s">
        <v>1201</v>
      </c>
      <c r="D138" s="15" t="s">
        <v>1202</v>
      </c>
      <c r="E138" s="15" t="s">
        <v>1203</v>
      </c>
      <c r="F138" s="15" t="s">
        <v>1204</v>
      </c>
      <c r="G138" s="10" t="s">
        <v>346</v>
      </c>
      <c r="H138" s="10" t="s">
        <v>445</v>
      </c>
      <c r="I138" s="15" t="s">
        <v>1193</v>
      </c>
      <c r="J138" s="19" t="s">
        <v>43</v>
      </c>
      <c r="K138" s="11" t="s">
        <v>143</v>
      </c>
      <c r="L138" s="11" t="s">
        <v>90</v>
      </c>
      <c r="M138" s="11">
        <v>2</v>
      </c>
      <c r="N138" s="15" t="s">
        <v>1205</v>
      </c>
      <c r="O138" s="11" t="s">
        <v>1206</v>
      </c>
      <c r="P138" s="15" t="s">
        <v>1199</v>
      </c>
      <c r="Q138" s="20" t="s">
        <v>116</v>
      </c>
    </row>
    <row r="139" spans="1:17" ht="23.1" hidden="1">
      <c r="A139" s="39" t="s">
        <v>1207</v>
      </c>
      <c r="B139" s="40" t="s">
        <v>78</v>
      </c>
      <c r="C139" s="15" t="s">
        <v>1208</v>
      </c>
      <c r="D139" s="15" t="s">
        <v>1209</v>
      </c>
      <c r="E139" s="15" t="s">
        <v>1210</v>
      </c>
      <c r="F139" s="15" t="s">
        <v>1211</v>
      </c>
      <c r="G139" s="10" t="s">
        <v>776</v>
      </c>
      <c r="H139" s="10" t="s">
        <v>1212</v>
      </c>
      <c r="I139" s="15" t="s">
        <v>1200</v>
      </c>
      <c r="J139" s="19" t="s">
        <v>43</v>
      </c>
      <c r="K139" s="11" t="s">
        <v>143</v>
      </c>
      <c r="L139" s="11" t="s">
        <v>92</v>
      </c>
      <c r="M139" s="11">
        <v>3</v>
      </c>
      <c r="N139" s="15" t="s">
        <v>1213</v>
      </c>
      <c r="O139" s="11" t="s">
        <v>99</v>
      </c>
      <c r="P139" s="15" t="s">
        <v>1214</v>
      </c>
      <c r="Q139" s="20" t="s">
        <v>116</v>
      </c>
    </row>
    <row r="140" spans="1:17" ht="34.5" hidden="1">
      <c r="A140" s="39" t="s">
        <v>1215</v>
      </c>
      <c r="B140" s="40" t="s">
        <v>78</v>
      </c>
      <c r="C140" s="15" t="s">
        <v>1216</v>
      </c>
      <c r="D140" s="15" t="s">
        <v>1217</v>
      </c>
      <c r="E140" s="15" t="s">
        <v>1218</v>
      </c>
      <c r="F140" s="15" t="s">
        <v>1219</v>
      </c>
      <c r="G140" s="10" t="s">
        <v>909</v>
      </c>
      <c r="H140" s="10" t="s">
        <v>1220</v>
      </c>
      <c r="I140" s="15" t="s">
        <v>1200</v>
      </c>
      <c r="J140" s="19" t="s">
        <v>43</v>
      </c>
      <c r="K140" s="11" t="s">
        <v>143</v>
      </c>
      <c r="L140" s="11" t="s">
        <v>90</v>
      </c>
      <c r="M140" s="11">
        <v>4</v>
      </c>
      <c r="N140" s="15" t="s">
        <v>1221</v>
      </c>
      <c r="O140" s="11" t="s">
        <v>99</v>
      </c>
      <c r="P140" s="15" t="s">
        <v>1222</v>
      </c>
      <c r="Q140" s="20" t="s">
        <v>116</v>
      </c>
    </row>
    <row r="141" spans="1:17" ht="34.5" hidden="1">
      <c r="A141" s="39" t="s">
        <v>1223</v>
      </c>
      <c r="B141" s="40" t="s">
        <v>78</v>
      </c>
      <c r="C141" s="15" t="s">
        <v>1224</v>
      </c>
      <c r="D141" s="15" t="s">
        <v>1225</v>
      </c>
      <c r="E141" s="15" t="s">
        <v>1226</v>
      </c>
      <c r="F141" s="15" t="s">
        <v>1227</v>
      </c>
      <c r="G141" s="10" t="s">
        <v>855</v>
      </c>
      <c r="H141" s="10" t="s">
        <v>864</v>
      </c>
      <c r="I141" s="15" t="s">
        <v>1200</v>
      </c>
      <c r="J141" s="19" t="s">
        <v>43</v>
      </c>
      <c r="K141" s="11" t="s">
        <v>143</v>
      </c>
      <c r="L141" s="11" t="s">
        <v>91</v>
      </c>
      <c r="M141" s="11">
        <v>4</v>
      </c>
      <c r="N141" s="15" t="s">
        <v>1228</v>
      </c>
      <c r="O141" s="11" t="s">
        <v>99</v>
      </c>
      <c r="P141" s="15" t="s">
        <v>694</v>
      </c>
      <c r="Q141" s="20" t="s">
        <v>116</v>
      </c>
    </row>
  </sheetData>
  <autoFilter ref="A4:Q141" xr:uid="{00000000-0009-0000-0000-000002000000}">
    <filterColumn colId="12">
      <filters>
        <filter val="1"/>
      </filters>
    </filterColumn>
  </autoFilter>
  <dataValidations count="1">
    <dataValidation type="list" allowBlank="1" sqref="Q5:Q141" xr:uid="{00000000-0002-0000-0200-000000000000}">
      <formula1>"Not started,In progress,In review,Done,Descoped"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topLeftCell="B1" zoomScaleNormal="100" workbookViewId="0">
      <pane ySplit="4" topLeftCell="A5" activePane="bottomLeft" state="frozen"/>
      <selection pane="bottomLeft" activeCell="C10" sqref="C10"/>
    </sheetView>
  </sheetViews>
  <sheetFormatPr defaultColWidth="8.7109375" defaultRowHeight="14.45"/>
  <cols>
    <col min="1" max="1" width="8" customWidth="1"/>
    <col min="2" max="2" width="32" customWidth="1"/>
    <col min="3" max="3" width="86" customWidth="1"/>
    <col min="4" max="4" width="12" customWidth="1"/>
    <col min="5" max="5" width="44" customWidth="1"/>
  </cols>
  <sheetData>
    <row r="1" spans="1:5" ht="25.5" customHeight="1">
      <c r="A1" s="1" t="s">
        <v>1229</v>
      </c>
      <c r="B1" s="2"/>
      <c r="C1" s="2"/>
      <c r="D1" s="2"/>
      <c r="E1" s="2"/>
    </row>
    <row r="2" spans="1:5" ht="15.75" customHeight="1">
      <c r="A2" s="3" t="s">
        <v>1230</v>
      </c>
      <c r="B2" s="4"/>
      <c r="C2" s="4"/>
      <c r="D2" s="4"/>
      <c r="E2" s="4"/>
    </row>
    <row r="4" spans="1:5" ht="31.5" customHeight="1">
      <c r="A4" s="8" t="s">
        <v>40</v>
      </c>
      <c r="B4" s="8" t="s">
        <v>41</v>
      </c>
      <c r="C4" s="8" t="s">
        <v>1231</v>
      </c>
      <c r="D4" s="8" t="s">
        <v>1232</v>
      </c>
      <c r="E4" s="8" t="s">
        <v>1233</v>
      </c>
    </row>
    <row r="5" spans="1:5" ht="30" customHeight="1">
      <c r="A5" s="13" t="s">
        <v>48</v>
      </c>
      <c r="B5" s="13" t="s">
        <v>49</v>
      </c>
      <c r="C5" s="15" t="s">
        <v>1234</v>
      </c>
      <c r="D5" s="11" t="s">
        <v>90</v>
      </c>
      <c r="E5" s="15" t="s">
        <v>1235</v>
      </c>
    </row>
    <row r="6" spans="1:5" ht="30" customHeight="1">
      <c r="A6" s="13" t="s">
        <v>50</v>
      </c>
      <c r="B6" s="13" t="s">
        <v>51</v>
      </c>
      <c r="C6" s="15" t="s">
        <v>1236</v>
      </c>
      <c r="D6" s="11" t="s">
        <v>90</v>
      </c>
      <c r="E6" s="15" t="s">
        <v>1237</v>
      </c>
    </row>
    <row r="7" spans="1:5" ht="30" customHeight="1">
      <c r="A7" s="13" t="s">
        <v>52</v>
      </c>
      <c r="B7" s="13" t="s">
        <v>53</v>
      </c>
      <c r="C7" s="15" t="s">
        <v>1238</v>
      </c>
      <c r="D7" s="11" t="s">
        <v>91</v>
      </c>
      <c r="E7" s="15" t="s">
        <v>1239</v>
      </c>
    </row>
    <row r="8" spans="1:5" ht="30" customHeight="1">
      <c r="A8" s="13" t="s">
        <v>54</v>
      </c>
      <c r="B8" s="13" t="s">
        <v>55</v>
      </c>
      <c r="C8" s="15" t="s">
        <v>1240</v>
      </c>
      <c r="D8" s="11" t="s">
        <v>91</v>
      </c>
      <c r="E8" s="15" t="s">
        <v>1241</v>
      </c>
    </row>
    <row r="9" spans="1:5" ht="30" customHeight="1">
      <c r="A9" s="13" t="s">
        <v>56</v>
      </c>
      <c r="B9" s="13" t="s">
        <v>57</v>
      </c>
      <c r="C9" s="15" t="s">
        <v>1242</v>
      </c>
      <c r="D9" s="11" t="s">
        <v>91</v>
      </c>
      <c r="E9" s="15" t="s">
        <v>1243</v>
      </c>
    </row>
    <row r="10" spans="1:5" ht="30" customHeight="1">
      <c r="A10" s="13" t="s">
        <v>58</v>
      </c>
      <c r="B10" s="13" t="s">
        <v>59</v>
      </c>
      <c r="C10" s="15" t="s">
        <v>1244</v>
      </c>
      <c r="D10" s="11" t="s">
        <v>87</v>
      </c>
      <c r="E10" s="15" t="s">
        <v>1245</v>
      </c>
    </row>
    <row r="11" spans="1:5" ht="30" customHeight="1">
      <c r="A11" s="13" t="s">
        <v>60</v>
      </c>
      <c r="B11" s="13" t="s">
        <v>61</v>
      </c>
      <c r="C11" s="15" t="s">
        <v>1246</v>
      </c>
      <c r="D11" s="11" t="s">
        <v>87</v>
      </c>
      <c r="E11" s="15" t="s">
        <v>1247</v>
      </c>
    </row>
    <row r="12" spans="1:5" ht="30" customHeight="1">
      <c r="A12" s="13" t="s">
        <v>62</v>
      </c>
      <c r="B12" s="13" t="s">
        <v>63</v>
      </c>
      <c r="C12" s="15" t="s">
        <v>1248</v>
      </c>
      <c r="D12" s="11" t="s">
        <v>91</v>
      </c>
      <c r="E12" s="15" t="s">
        <v>1249</v>
      </c>
    </row>
    <row r="13" spans="1:5" ht="30" customHeight="1">
      <c r="A13" s="13" t="s">
        <v>64</v>
      </c>
      <c r="B13" s="13" t="s">
        <v>65</v>
      </c>
      <c r="C13" s="15" t="s">
        <v>1250</v>
      </c>
      <c r="D13" s="11" t="s">
        <v>87</v>
      </c>
      <c r="E13" s="15" t="s">
        <v>1251</v>
      </c>
    </row>
    <row r="14" spans="1:5" ht="30" customHeight="1">
      <c r="A14" s="13" t="s">
        <v>66</v>
      </c>
      <c r="B14" s="13" t="s">
        <v>67</v>
      </c>
      <c r="C14" s="15" t="s">
        <v>1252</v>
      </c>
      <c r="D14" s="11" t="s">
        <v>87</v>
      </c>
      <c r="E14" s="15" t="s">
        <v>1253</v>
      </c>
    </row>
    <row r="15" spans="1:5" ht="30" customHeight="1">
      <c r="A15" s="13" t="s">
        <v>68</v>
      </c>
      <c r="B15" s="13" t="s">
        <v>69</v>
      </c>
      <c r="C15" s="15" t="s">
        <v>1254</v>
      </c>
      <c r="D15" s="11" t="s">
        <v>92</v>
      </c>
      <c r="E15" s="15" t="s">
        <v>1255</v>
      </c>
    </row>
    <row r="16" spans="1:5" ht="30" customHeight="1">
      <c r="A16" s="13" t="s">
        <v>70</v>
      </c>
      <c r="B16" s="13" t="s">
        <v>71</v>
      </c>
      <c r="C16" s="15" t="s">
        <v>1256</v>
      </c>
      <c r="D16" s="11" t="s">
        <v>91</v>
      </c>
      <c r="E16" s="15" t="s">
        <v>1257</v>
      </c>
    </row>
    <row r="17" spans="1:5" ht="30" customHeight="1">
      <c r="A17" s="13" t="s">
        <v>72</v>
      </c>
      <c r="B17" s="13" t="s">
        <v>73</v>
      </c>
      <c r="C17" s="15" t="s">
        <v>1258</v>
      </c>
      <c r="D17" s="11" t="s">
        <v>87</v>
      </c>
      <c r="E17" s="15" t="s">
        <v>1259</v>
      </c>
    </row>
    <row r="18" spans="1:5" ht="30" customHeight="1">
      <c r="A18" s="13" t="s">
        <v>74</v>
      </c>
      <c r="B18" s="13" t="s">
        <v>75</v>
      </c>
      <c r="C18" s="15" t="s">
        <v>1260</v>
      </c>
      <c r="D18" s="11" t="s">
        <v>89</v>
      </c>
      <c r="E18" s="15" t="s">
        <v>1261</v>
      </c>
    </row>
    <row r="19" spans="1:5" ht="30" customHeight="1">
      <c r="A19" s="13" t="s">
        <v>76</v>
      </c>
      <c r="B19" s="13" t="s">
        <v>77</v>
      </c>
      <c r="C19" s="15" t="s">
        <v>1262</v>
      </c>
      <c r="D19" s="11" t="s">
        <v>92</v>
      </c>
      <c r="E19" s="15" t="s">
        <v>1263</v>
      </c>
    </row>
    <row r="20" spans="1:5" ht="30" customHeight="1">
      <c r="A20" s="13" t="s">
        <v>78</v>
      </c>
      <c r="B20" s="13" t="s">
        <v>79</v>
      </c>
      <c r="C20" s="15" t="s">
        <v>1264</v>
      </c>
      <c r="D20" s="11" t="s">
        <v>90</v>
      </c>
      <c r="E20" s="15" t="s">
        <v>1265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
  <sheetViews>
    <sheetView showGridLines="0" tabSelected="1" zoomScale="89" zoomScaleNormal="100" workbookViewId="0">
      <pane ySplit="4" topLeftCell="A9" activePane="bottomLeft" state="frozen"/>
      <selection pane="bottomLeft" activeCell="C4" sqref="C4"/>
    </sheetView>
  </sheetViews>
  <sheetFormatPr defaultColWidth="8.7109375" defaultRowHeight="14.45"/>
  <cols>
    <col min="1" max="1" width="4" customWidth="1"/>
    <col min="2" max="2" width="20" customWidth="1"/>
    <col min="3" max="3" width="19.42578125" customWidth="1"/>
    <col min="4" max="5" width="44" customWidth="1"/>
    <col min="6" max="6" width="15.85546875" customWidth="1"/>
    <col min="7" max="7" width="52" customWidth="1"/>
    <col min="8" max="8" width="14" customWidth="1"/>
    <col min="9" max="9" width="36" customWidth="1"/>
    <col min="10" max="10" width="8" customWidth="1"/>
  </cols>
  <sheetData>
    <row r="1" spans="1:10" ht="25.5" customHeight="1">
      <c r="A1" s="1" t="s">
        <v>1266</v>
      </c>
      <c r="B1" s="2"/>
      <c r="C1" s="2"/>
      <c r="D1" s="2"/>
      <c r="E1" s="2"/>
      <c r="F1" s="2"/>
      <c r="G1" s="2"/>
      <c r="H1" s="2"/>
      <c r="I1" s="2"/>
      <c r="J1" s="2"/>
    </row>
    <row r="2" spans="1:10" ht="15.75" customHeight="1">
      <c r="A2" s="3" t="s">
        <v>1267</v>
      </c>
      <c r="B2" s="4"/>
      <c r="C2" s="4"/>
      <c r="D2" s="4"/>
      <c r="E2" s="4"/>
      <c r="F2" s="4"/>
      <c r="G2" s="4"/>
      <c r="H2" s="4"/>
      <c r="I2" s="4"/>
      <c r="J2" s="4"/>
    </row>
    <row r="4" spans="1:10" ht="31.5" customHeight="1">
      <c r="A4" s="8" t="s">
        <v>1268</v>
      </c>
      <c r="B4" s="8" t="s">
        <v>1269</v>
      </c>
      <c r="C4" s="8" t="s">
        <v>1270</v>
      </c>
      <c r="D4" s="8" t="s">
        <v>1271</v>
      </c>
      <c r="E4" s="8" t="s">
        <v>1272</v>
      </c>
      <c r="F4" s="8" t="s">
        <v>1273</v>
      </c>
      <c r="G4" s="8" t="s">
        <v>1274</v>
      </c>
      <c r="H4" s="8" t="s">
        <v>1275</v>
      </c>
      <c r="I4" s="8" t="s">
        <v>1276</v>
      </c>
      <c r="J4" s="8" t="s">
        <v>1277</v>
      </c>
    </row>
    <row r="5" spans="1:10" ht="45.75" customHeight="1">
      <c r="A5" s="11">
        <v>1</v>
      </c>
      <c r="B5" s="13" t="s">
        <v>1278</v>
      </c>
      <c r="C5" s="11" t="s">
        <v>1279</v>
      </c>
      <c r="D5" s="15" t="s">
        <v>1280</v>
      </c>
      <c r="E5" s="15" t="s">
        <v>1281</v>
      </c>
      <c r="F5" s="43" t="s">
        <v>1282</v>
      </c>
      <c r="G5" s="15" t="s">
        <v>1283</v>
      </c>
      <c r="H5" s="11" t="s">
        <v>142</v>
      </c>
      <c r="I5" s="15" t="s">
        <v>1284</v>
      </c>
      <c r="J5" s="11" t="s">
        <v>1285</v>
      </c>
    </row>
    <row r="6" spans="1:10" ht="45.75" customHeight="1">
      <c r="A6" s="11">
        <v>2</v>
      </c>
      <c r="B6" s="13" t="s">
        <v>1286</v>
      </c>
      <c r="C6" s="11" t="s">
        <v>1279</v>
      </c>
      <c r="D6" s="15" t="s">
        <v>1287</v>
      </c>
      <c r="E6" s="15" t="s">
        <v>1288</v>
      </c>
      <c r="F6" s="43" t="s">
        <v>1289</v>
      </c>
      <c r="G6" s="15" t="s">
        <v>1290</v>
      </c>
      <c r="H6" s="11" t="s">
        <v>142</v>
      </c>
      <c r="I6" s="15" t="s">
        <v>1291</v>
      </c>
      <c r="J6" s="11" t="s">
        <v>1285</v>
      </c>
    </row>
    <row r="7" spans="1:10" ht="45.75" customHeight="1">
      <c r="A7" s="11">
        <v>3</v>
      </c>
      <c r="B7" s="13" t="s">
        <v>1292</v>
      </c>
      <c r="C7" s="11" t="s">
        <v>1279</v>
      </c>
      <c r="D7" s="15" t="s">
        <v>1293</v>
      </c>
      <c r="E7" s="15" t="s">
        <v>1294</v>
      </c>
      <c r="F7" s="43" t="s">
        <v>1295</v>
      </c>
      <c r="G7" s="15" t="s">
        <v>1296</v>
      </c>
      <c r="H7" s="11" t="s">
        <v>142</v>
      </c>
      <c r="I7" s="15" t="s">
        <v>1297</v>
      </c>
      <c r="J7" s="11" t="s">
        <v>1285</v>
      </c>
    </row>
    <row r="8" spans="1:10" ht="45.75" customHeight="1">
      <c r="A8" s="11">
        <v>4</v>
      </c>
      <c r="B8" s="13" t="s">
        <v>1298</v>
      </c>
      <c r="C8" s="11" t="s">
        <v>1279</v>
      </c>
      <c r="D8" s="15" t="s">
        <v>1299</v>
      </c>
      <c r="E8" s="15" t="s">
        <v>1300</v>
      </c>
      <c r="F8" s="43" t="s">
        <v>1301</v>
      </c>
      <c r="G8" s="15" t="s">
        <v>1302</v>
      </c>
      <c r="H8" s="11" t="s">
        <v>142</v>
      </c>
      <c r="I8" s="15" t="s">
        <v>1303</v>
      </c>
      <c r="J8" s="11" t="s">
        <v>1285</v>
      </c>
    </row>
    <row r="9" spans="1:10" ht="45.75" customHeight="1">
      <c r="A9" s="11">
        <v>5</v>
      </c>
      <c r="B9" s="13" t="s">
        <v>1304</v>
      </c>
      <c r="C9" s="11" t="s">
        <v>1305</v>
      </c>
      <c r="D9" s="15" t="s">
        <v>1306</v>
      </c>
      <c r="E9" s="15" t="s">
        <v>1307</v>
      </c>
      <c r="F9" s="11" t="s">
        <v>1308</v>
      </c>
      <c r="G9" s="15" t="s">
        <v>1309</v>
      </c>
      <c r="H9" s="11" t="s">
        <v>142</v>
      </c>
      <c r="I9" s="15" t="s">
        <v>1310</v>
      </c>
      <c r="J9" s="11" t="s">
        <v>1285</v>
      </c>
    </row>
    <row r="10" spans="1:10" ht="45.75" customHeight="1">
      <c r="A10" s="11">
        <v>6</v>
      </c>
      <c r="B10" s="13" t="s">
        <v>1311</v>
      </c>
      <c r="C10" s="11" t="s">
        <v>1305</v>
      </c>
      <c r="D10" s="15" t="s">
        <v>1312</v>
      </c>
      <c r="E10" s="15" t="s">
        <v>1313</v>
      </c>
      <c r="F10" s="11" t="s">
        <v>1289</v>
      </c>
      <c r="G10" s="15" t="s">
        <v>1314</v>
      </c>
      <c r="H10" s="11" t="s">
        <v>1315</v>
      </c>
      <c r="I10" s="15" t="s">
        <v>1316</v>
      </c>
      <c r="J10" s="11" t="s">
        <v>1285</v>
      </c>
    </row>
    <row r="11" spans="1:10" ht="45.75" customHeight="1">
      <c r="A11" s="11">
        <v>7</v>
      </c>
      <c r="B11" s="13" t="s">
        <v>1317</v>
      </c>
      <c r="C11" s="11" t="s">
        <v>1318</v>
      </c>
      <c r="D11" s="15" t="s">
        <v>1319</v>
      </c>
      <c r="E11" s="15" t="s">
        <v>1320</v>
      </c>
      <c r="F11" s="11" t="s">
        <v>1321</v>
      </c>
      <c r="G11" s="15" t="s">
        <v>1322</v>
      </c>
      <c r="H11" s="11" t="s">
        <v>1323</v>
      </c>
      <c r="I11" s="15" t="s">
        <v>1324</v>
      </c>
      <c r="J11" s="11" t="s">
        <v>1285</v>
      </c>
    </row>
    <row r="12" spans="1:10" ht="45.75" customHeight="1">
      <c r="A12" s="11">
        <v>8</v>
      </c>
      <c r="B12" s="13" t="s">
        <v>1325</v>
      </c>
      <c r="C12" s="11" t="s">
        <v>1318</v>
      </c>
      <c r="D12" s="15" t="s">
        <v>1326</v>
      </c>
      <c r="E12" s="15" t="s">
        <v>1327</v>
      </c>
      <c r="F12" s="11" t="s">
        <v>1289</v>
      </c>
      <c r="G12" s="15" t="s">
        <v>1328</v>
      </c>
      <c r="H12" s="11" t="s">
        <v>142</v>
      </c>
      <c r="I12" s="15" t="s">
        <v>1329</v>
      </c>
      <c r="J12" s="11" t="s">
        <v>1285</v>
      </c>
    </row>
    <row r="13" spans="1:10" ht="45.75" customHeight="1">
      <c r="A13" s="11">
        <v>9</v>
      </c>
      <c r="B13" s="13" t="s">
        <v>1330</v>
      </c>
      <c r="C13" s="11" t="s">
        <v>1318</v>
      </c>
      <c r="D13" s="15" t="s">
        <v>1331</v>
      </c>
      <c r="E13" s="15" t="s">
        <v>1332</v>
      </c>
      <c r="F13" s="11" t="s">
        <v>1282</v>
      </c>
      <c r="G13" s="15" t="s">
        <v>1333</v>
      </c>
      <c r="H13" s="11" t="s">
        <v>1334</v>
      </c>
      <c r="I13" s="15" t="s">
        <v>1335</v>
      </c>
      <c r="J13" s="11" t="s">
        <v>1285</v>
      </c>
    </row>
    <row r="14" spans="1:10" ht="45.75" customHeight="1">
      <c r="A14" s="11">
        <v>10</v>
      </c>
      <c r="B14" s="13" t="s">
        <v>1336</v>
      </c>
      <c r="C14" s="11" t="s">
        <v>1337</v>
      </c>
      <c r="D14" s="15" t="s">
        <v>1338</v>
      </c>
      <c r="E14" s="15" t="s">
        <v>1339</v>
      </c>
      <c r="F14" s="11" t="s">
        <v>1289</v>
      </c>
      <c r="G14" s="15" t="s">
        <v>1340</v>
      </c>
      <c r="H14" s="11" t="s">
        <v>1341</v>
      </c>
      <c r="I14" s="15" t="s">
        <v>1342</v>
      </c>
      <c r="J14" s="11" t="s">
        <v>1285</v>
      </c>
    </row>
    <row r="15" spans="1:10" ht="45.75" customHeight="1">
      <c r="A15" s="11">
        <v>11</v>
      </c>
      <c r="B15" s="13" t="s">
        <v>1343</v>
      </c>
      <c r="C15" s="11" t="s">
        <v>1337</v>
      </c>
      <c r="D15" s="15" t="s">
        <v>1344</v>
      </c>
      <c r="E15" s="15" t="s">
        <v>1345</v>
      </c>
      <c r="F15" s="11" t="s">
        <v>1346</v>
      </c>
      <c r="G15" s="15" t="s">
        <v>1347</v>
      </c>
      <c r="H15" s="11" t="s">
        <v>142</v>
      </c>
      <c r="I15" s="15" t="s">
        <v>1348</v>
      </c>
      <c r="J15" s="11" t="s">
        <v>1349</v>
      </c>
    </row>
    <row r="16" spans="1:10" ht="45.75" customHeight="1">
      <c r="A16" s="11">
        <v>12</v>
      </c>
      <c r="B16" s="13" t="s">
        <v>1350</v>
      </c>
      <c r="C16" s="11" t="s">
        <v>1337</v>
      </c>
      <c r="D16" s="15" t="s">
        <v>1351</v>
      </c>
      <c r="E16" s="15" t="s">
        <v>1352</v>
      </c>
      <c r="F16" s="11" t="s">
        <v>1353</v>
      </c>
      <c r="G16" s="15" t="s">
        <v>1354</v>
      </c>
      <c r="H16" s="11" t="s">
        <v>142</v>
      </c>
      <c r="I16" s="15" t="s">
        <v>1355</v>
      </c>
      <c r="J16" s="11" t="s">
        <v>1285</v>
      </c>
    </row>
    <row r="18" spans="2:2">
      <c r="B18" s="41" t="s">
        <v>1356</v>
      </c>
    </row>
  </sheetData>
  <autoFilter ref="A4:J16" xr:uid="{00000000-0001-0000-0400-000000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showGridLines="0" zoomScale="79" zoomScaleNormal="100" workbookViewId="0">
      <pane ySplit="4" topLeftCell="A34" activePane="bottomLeft" state="frozen"/>
      <selection pane="bottomLeft"/>
    </sheetView>
  </sheetViews>
  <sheetFormatPr defaultColWidth="8.7109375" defaultRowHeight="14.45"/>
  <cols>
    <col min="1" max="1" width="24" customWidth="1"/>
    <col min="2" max="2" width="20" customWidth="1"/>
    <col min="3" max="3" width="52" customWidth="1"/>
    <col min="4" max="4" width="60" customWidth="1"/>
    <col min="5" max="5" width="48" customWidth="1"/>
    <col min="6" max="6" width="16" customWidth="1"/>
  </cols>
  <sheetData>
    <row r="1" spans="1:6" ht="25.5" customHeight="1">
      <c r="A1" s="1" t="s">
        <v>1357</v>
      </c>
      <c r="B1" s="2"/>
      <c r="C1" s="2"/>
      <c r="D1" s="2"/>
      <c r="E1" s="2"/>
      <c r="F1" s="2"/>
    </row>
    <row r="2" spans="1:6" ht="15.75" customHeight="1">
      <c r="A2" s="3" t="s">
        <v>1358</v>
      </c>
      <c r="B2" s="4"/>
      <c r="C2" s="4"/>
      <c r="D2" s="4"/>
      <c r="E2" s="4"/>
      <c r="F2" s="4"/>
    </row>
    <row r="4" spans="1:6" ht="31.5" customHeight="1">
      <c r="A4" s="8" t="s">
        <v>1359</v>
      </c>
      <c r="B4" s="8" t="s">
        <v>1360</v>
      </c>
      <c r="C4" s="8" t="s">
        <v>1361</v>
      </c>
      <c r="D4" s="8" t="s">
        <v>1362</v>
      </c>
      <c r="E4" s="8" t="s">
        <v>1363</v>
      </c>
      <c r="F4" s="8" t="s">
        <v>1364</v>
      </c>
    </row>
    <row r="5" spans="1:6" ht="33.75" customHeight="1">
      <c r="A5" s="13" t="s">
        <v>1365</v>
      </c>
      <c r="B5" s="10" t="s">
        <v>1366</v>
      </c>
      <c r="C5" s="15" t="s">
        <v>1367</v>
      </c>
      <c r="D5" s="15" t="s">
        <v>1368</v>
      </c>
      <c r="E5" s="15" t="s">
        <v>1369</v>
      </c>
      <c r="F5" s="11" t="s">
        <v>1370</v>
      </c>
    </row>
    <row r="6" spans="1:6" ht="33.75" customHeight="1">
      <c r="A6" s="13" t="s">
        <v>1371</v>
      </c>
      <c r="B6" s="10" t="s">
        <v>1366</v>
      </c>
      <c r="C6" s="15" t="s">
        <v>1372</v>
      </c>
      <c r="D6" s="15" t="s">
        <v>1373</v>
      </c>
      <c r="E6" s="15" t="s">
        <v>1374</v>
      </c>
      <c r="F6" s="11" t="s">
        <v>1375</v>
      </c>
    </row>
    <row r="7" spans="1:6" ht="33.75" customHeight="1">
      <c r="A7" s="13" t="s">
        <v>1376</v>
      </c>
      <c r="B7" s="10" t="s">
        <v>1366</v>
      </c>
      <c r="C7" s="15" t="s">
        <v>1377</v>
      </c>
      <c r="D7" s="15" t="s">
        <v>1378</v>
      </c>
      <c r="E7" s="15" t="s">
        <v>1379</v>
      </c>
      <c r="F7" s="11" t="s">
        <v>1380</v>
      </c>
    </row>
    <row r="8" spans="1:6" ht="33.75" customHeight="1">
      <c r="A8" s="13" t="s">
        <v>1381</v>
      </c>
      <c r="B8" s="10" t="s">
        <v>1366</v>
      </c>
      <c r="C8" s="15" t="s">
        <v>1382</v>
      </c>
      <c r="D8" s="15" t="s">
        <v>1383</v>
      </c>
      <c r="E8" s="15" t="s">
        <v>1384</v>
      </c>
      <c r="F8" s="11" t="s">
        <v>1385</v>
      </c>
    </row>
    <row r="9" spans="1:6" ht="33.75" customHeight="1">
      <c r="A9" s="13" t="s">
        <v>1386</v>
      </c>
      <c r="B9" s="10" t="s">
        <v>1366</v>
      </c>
      <c r="C9" s="15" t="s">
        <v>1387</v>
      </c>
      <c r="D9" s="15" t="s">
        <v>1388</v>
      </c>
      <c r="E9" s="15" t="s">
        <v>1389</v>
      </c>
      <c r="F9" s="11" t="s">
        <v>1390</v>
      </c>
    </row>
    <row r="10" spans="1:6" ht="33.75" customHeight="1">
      <c r="A10" s="13" t="s">
        <v>1391</v>
      </c>
      <c r="B10" s="10" t="s">
        <v>1392</v>
      </c>
      <c r="C10" s="15" t="s">
        <v>1393</v>
      </c>
      <c r="D10" s="15" t="s">
        <v>1394</v>
      </c>
      <c r="E10" s="15" t="s">
        <v>1395</v>
      </c>
      <c r="F10" s="11" t="s">
        <v>1396</v>
      </c>
    </row>
    <row r="11" spans="1:6" ht="33.75" customHeight="1">
      <c r="A11" s="13" t="s">
        <v>1397</v>
      </c>
      <c r="B11" s="10" t="s">
        <v>1392</v>
      </c>
      <c r="C11" s="15" t="s">
        <v>1398</v>
      </c>
      <c r="D11" s="15" t="s">
        <v>1399</v>
      </c>
      <c r="E11" s="15" t="s">
        <v>1400</v>
      </c>
      <c r="F11" s="11" t="s">
        <v>1401</v>
      </c>
    </row>
    <row r="12" spans="1:6" ht="33.75" customHeight="1">
      <c r="A12" s="13" t="s">
        <v>1402</v>
      </c>
      <c r="B12" s="10" t="s">
        <v>1392</v>
      </c>
      <c r="C12" s="15" t="s">
        <v>1403</v>
      </c>
      <c r="D12" s="15" t="s">
        <v>1404</v>
      </c>
      <c r="E12" s="15" t="s">
        <v>1405</v>
      </c>
      <c r="F12" s="11" t="s">
        <v>1406</v>
      </c>
    </row>
    <row r="13" spans="1:6" ht="33.75" customHeight="1">
      <c r="A13" s="13" t="s">
        <v>1407</v>
      </c>
      <c r="B13" s="10" t="s">
        <v>1392</v>
      </c>
      <c r="C13" s="15" t="s">
        <v>1408</v>
      </c>
      <c r="D13" s="15" t="s">
        <v>1409</v>
      </c>
      <c r="E13" s="15" t="s">
        <v>1410</v>
      </c>
      <c r="F13" s="11" t="s">
        <v>1411</v>
      </c>
    </row>
    <row r="14" spans="1:6" ht="33.75" customHeight="1">
      <c r="A14" s="13" t="s">
        <v>1412</v>
      </c>
      <c r="B14" s="10" t="s">
        <v>1413</v>
      </c>
      <c r="C14" s="15" t="s">
        <v>1414</v>
      </c>
      <c r="D14" s="15" t="s">
        <v>1415</v>
      </c>
      <c r="E14" s="15" t="s">
        <v>1416</v>
      </c>
      <c r="F14" s="11" t="s">
        <v>1417</v>
      </c>
    </row>
    <row r="15" spans="1:6" ht="33.75" customHeight="1">
      <c r="A15" s="13" t="s">
        <v>1418</v>
      </c>
      <c r="B15" s="10" t="s">
        <v>1413</v>
      </c>
      <c r="C15" s="15" t="s">
        <v>1419</v>
      </c>
      <c r="D15" s="15" t="s">
        <v>1420</v>
      </c>
      <c r="E15" s="15" t="s">
        <v>1421</v>
      </c>
      <c r="F15" s="11" t="s">
        <v>1422</v>
      </c>
    </row>
    <row r="16" spans="1:6" ht="33.75" customHeight="1">
      <c r="A16" s="13" t="s">
        <v>1423</v>
      </c>
      <c r="B16" s="10" t="s">
        <v>1413</v>
      </c>
      <c r="C16" s="15" t="s">
        <v>1424</v>
      </c>
      <c r="D16" s="15" t="s">
        <v>1425</v>
      </c>
      <c r="E16" s="15" t="s">
        <v>1426</v>
      </c>
      <c r="F16" s="11" t="s">
        <v>1427</v>
      </c>
    </row>
    <row r="17" spans="1:6" ht="33.75" customHeight="1">
      <c r="A17" s="13" t="s">
        <v>1428</v>
      </c>
      <c r="B17" s="10" t="s">
        <v>1413</v>
      </c>
      <c r="C17" s="15" t="s">
        <v>1429</v>
      </c>
      <c r="D17" s="15" t="s">
        <v>1430</v>
      </c>
      <c r="E17" s="15" t="s">
        <v>1431</v>
      </c>
      <c r="F17" s="11" t="s">
        <v>1432</v>
      </c>
    </row>
    <row r="18" spans="1:6" ht="33.75" customHeight="1">
      <c r="A18" s="13" t="s">
        <v>1433</v>
      </c>
      <c r="B18" s="10" t="s">
        <v>1413</v>
      </c>
      <c r="C18" s="15" t="s">
        <v>1434</v>
      </c>
      <c r="D18" s="15" t="s">
        <v>1435</v>
      </c>
      <c r="E18" s="15" t="s">
        <v>1436</v>
      </c>
      <c r="F18" s="11" t="s">
        <v>1437</v>
      </c>
    </row>
    <row r="19" spans="1:6" ht="33.75" customHeight="1">
      <c r="A19" s="13" t="s">
        <v>1438</v>
      </c>
      <c r="B19" s="10" t="s">
        <v>1413</v>
      </c>
      <c r="C19" s="15" t="s">
        <v>1439</v>
      </c>
      <c r="D19" s="15" t="s">
        <v>1440</v>
      </c>
      <c r="E19" s="15" t="s">
        <v>1441</v>
      </c>
      <c r="F19" s="11" t="s">
        <v>1442</v>
      </c>
    </row>
    <row r="20" spans="1:6" ht="33.75" customHeight="1">
      <c r="A20" s="13" t="s">
        <v>1443</v>
      </c>
      <c r="B20" s="10" t="s">
        <v>1444</v>
      </c>
      <c r="C20" s="15" t="s">
        <v>1445</v>
      </c>
      <c r="D20" s="15" t="s">
        <v>1446</v>
      </c>
      <c r="E20" s="15" t="s">
        <v>1447</v>
      </c>
      <c r="F20" s="11" t="s">
        <v>1448</v>
      </c>
    </row>
    <row r="21" spans="1:6" ht="33.75" customHeight="1">
      <c r="A21" s="13" t="s">
        <v>1449</v>
      </c>
      <c r="B21" s="10" t="s">
        <v>1444</v>
      </c>
      <c r="C21" s="15" t="s">
        <v>1450</v>
      </c>
      <c r="D21" s="15" t="s">
        <v>1451</v>
      </c>
      <c r="E21" s="15" t="s">
        <v>1452</v>
      </c>
      <c r="F21" s="11" t="s">
        <v>1385</v>
      </c>
    </row>
    <row r="22" spans="1:6" ht="33.75" customHeight="1">
      <c r="A22" s="13" t="s">
        <v>1453</v>
      </c>
      <c r="B22" s="10" t="s">
        <v>1454</v>
      </c>
      <c r="C22" s="15" t="s">
        <v>1455</v>
      </c>
      <c r="D22" s="15" t="s">
        <v>1456</v>
      </c>
      <c r="E22" s="15" t="s">
        <v>1457</v>
      </c>
      <c r="F22" s="11" t="s">
        <v>1458</v>
      </c>
    </row>
    <row r="23" spans="1:6" ht="33.75" customHeight="1">
      <c r="A23" s="13" t="s">
        <v>1459</v>
      </c>
      <c r="B23" s="10" t="s">
        <v>1454</v>
      </c>
      <c r="C23" s="15" t="s">
        <v>1460</v>
      </c>
      <c r="D23" s="15" t="s">
        <v>1461</v>
      </c>
      <c r="E23" s="15" t="s">
        <v>1462</v>
      </c>
      <c r="F23" s="11" t="s">
        <v>1463</v>
      </c>
    </row>
    <row r="24" spans="1:6" ht="33.75" customHeight="1">
      <c r="A24" s="13" t="s">
        <v>1464</v>
      </c>
      <c r="B24" s="10" t="s">
        <v>1454</v>
      </c>
      <c r="C24" s="15" t="s">
        <v>1465</v>
      </c>
      <c r="D24" s="15" t="s">
        <v>1466</v>
      </c>
      <c r="E24" s="15" t="s">
        <v>1462</v>
      </c>
      <c r="F24" s="11" t="s">
        <v>1467</v>
      </c>
    </row>
    <row r="25" spans="1:6" ht="33.75" customHeight="1">
      <c r="A25" s="13" t="s">
        <v>1468</v>
      </c>
      <c r="B25" s="10" t="s">
        <v>1454</v>
      </c>
      <c r="C25" s="15" t="s">
        <v>1469</v>
      </c>
      <c r="D25" s="15" t="s">
        <v>1470</v>
      </c>
      <c r="E25" s="15" t="s">
        <v>1462</v>
      </c>
      <c r="F25" s="11" t="s">
        <v>1471</v>
      </c>
    </row>
    <row r="26" spans="1:6" ht="33.75" customHeight="1">
      <c r="A26" s="13" t="s">
        <v>1472</v>
      </c>
      <c r="B26" s="10" t="s">
        <v>1473</v>
      </c>
      <c r="C26" s="15" t="s">
        <v>1474</v>
      </c>
      <c r="D26" s="15" t="s">
        <v>1475</v>
      </c>
      <c r="E26" s="15" t="s">
        <v>1476</v>
      </c>
      <c r="F26" s="11" t="s">
        <v>1406</v>
      </c>
    </row>
    <row r="27" spans="1:6" ht="33.75" customHeight="1">
      <c r="A27" s="13" t="s">
        <v>1477</v>
      </c>
      <c r="B27" s="10" t="s">
        <v>1473</v>
      </c>
      <c r="C27" s="15" t="s">
        <v>1478</v>
      </c>
      <c r="D27" s="15" t="s">
        <v>1479</v>
      </c>
      <c r="E27" s="15" t="s">
        <v>1476</v>
      </c>
      <c r="F27" s="11" t="s">
        <v>1480</v>
      </c>
    </row>
    <row r="28" spans="1:6" ht="33.75" customHeight="1">
      <c r="A28" s="13" t="s">
        <v>1481</v>
      </c>
      <c r="B28" s="10" t="s">
        <v>1473</v>
      </c>
      <c r="C28" s="15" t="s">
        <v>1482</v>
      </c>
      <c r="D28" s="15" t="s">
        <v>1483</v>
      </c>
      <c r="E28" s="15" t="s">
        <v>1484</v>
      </c>
      <c r="F28" s="11" t="s">
        <v>1485</v>
      </c>
    </row>
    <row r="29" spans="1:6" ht="33.75" customHeight="1">
      <c r="A29" s="13" t="s">
        <v>1486</v>
      </c>
      <c r="B29" s="10" t="s">
        <v>1487</v>
      </c>
      <c r="C29" s="15" t="s">
        <v>1488</v>
      </c>
      <c r="D29" s="15" t="s">
        <v>1489</v>
      </c>
      <c r="E29" s="15" t="s">
        <v>1490</v>
      </c>
      <c r="F29" s="11" t="s">
        <v>1370</v>
      </c>
    </row>
    <row r="30" spans="1:6" ht="33.75" customHeight="1">
      <c r="A30" s="13" t="s">
        <v>1491</v>
      </c>
      <c r="B30" s="10" t="s">
        <v>855</v>
      </c>
      <c r="C30" s="15" t="s">
        <v>1492</v>
      </c>
      <c r="D30" s="15" t="s">
        <v>1493</v>
      </c>
      <c r="E30" s="15" t="s">
        <v>1494</v>
      </c>
      <c r="F30" s="11" t="s">
        <v>1495</v>
      </c>
    </row>
    <row r="31" spans="1:6" ht="33.75" customHeight="1">
      <c r="A31" s="13" t="s">
        <v>1496</v>
      </c>
      <c r="B31" s="10" t="s">
        <v>1497</v>
      </c>
      <c r="C31" s="15" t="s">
        <v>1498</v>
      </c>
      <c r="D31" s="15" t="s">
        <v>1499</v>
      </c>
      <c r="E31" s="15" t="s">
        <v>1500</v>
      </c>
      <c r="F31" s="11" t="s">
        <v>1501</v>
      </c>
    </row>
    <row r="32" spans="1:6" ht="33.75" customHeight="1">
      <c r="A32" s="13" t="s">
        <v>1502</v>
      </c>
      <c r="B32" s="10" t="s">
        <v>1497</v>
      </c>
      <c r="C32" s="15" t="s">
        <v>1503</v>
      </c>
      <c r="D32" s="15" t="s">
        <v>1504</v>
      </c>
      <c r="E32" s="15" t="s">
        <v>1505</v>
      </c>
      <c r="F32" s="11" t="s">
        <v>1506</v>
      </c>
    </row>
    <row r="33" spans="1:6" ht="33.75" customHeight="1">
      <c r="A33" s="13" t="s">
        <v>1507</v>
      </c>
      <c r="B33" s="10" t="s">
        <v>1497</v>
      </c>
      <c r="C33" s="15" t="s">
        <v>1508</v>
      </c>
      <c r="D33" s="15" t="s">
        <v>1509</v>
      </c>
      <c r="E33" s="15" t="s">
        <v>1510</v>
      </c>
      <c r="F33" s="11" t="s">
        <v>1511</v>
      </c>
    </row>
    <row r="34" spans="1:6" ht="33.75" customHeight="1">
      <c r="A34" s="13" t="s">
        <v>1512</v>
      </c>
      <c r="B34" s="10" t="s">
        <v>1497</v>
      </c>
      <c r="C34" s="15" t="s">
        <v>1513</v>
      </c>
      <c r="D34" s="15" t="s">
        <v>1514</v>
      </c>
      <c r="E34" s="15" t="s">
        <v>1515</v>
      </c>
      <c r="F34" s="11" t="s">
        <v>1516</v>
      </c>
    </row>
    <row r="35" spans="1:6" ht="33.75" customHeight="1">
      <c r="A35" s="13" t="s">
        <v>1517</v>
      </c>
      <c r="B35" s="10" t="s">
        <v>1497</v>
      </c>
      <c r="C35" s="15" t="s">
        <v>1518</v>
      </c>
      <c r="D35" s="15" t="s">
        <v>1519</v>
      </c>
      <c r="E35" s="15" t="s">
        <v>1520</v>
      </c>
      <c r="F35" s="11" t="s">
        <v>1501</v>
      </c>
    </row>
    <row r="36" spans="1:6" ht="33.75" customHeight="1">
      <c r="A36" s="13" t="s">
        <v>1521</v>
      </c>
      <c r="B36" s="10" t="s">
        <v>1522</v>
      </c>
      <c r="C36" s="15" t="s">
        <v>1523</v>
      </c>
      <c r="D36" s="15" t="s">
        <v>1524</v>
      </c>
      <c r="E36" s="15" t="s">
        <v>1525</v>
      </c>
      <c r="F36" s="11" t="s">
        <v>1458</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showGridLines="0" zoomScale="83" zoomScaleNormal="100" workbookViewId="0">
      <pane ySplit="4" topLeftCell="A5" activePane="bottomLeft" state="frozen"/>
      <selection pane="bottomLeft"/>
    </sheetView>
  </sheetViews>
  <sheetFormatPr defaultColWidth="8.7109375" defaultRowHeight="14.45"/>
  <cols>
    <col min="1" max="1" width="18" customWidth="1"/>
    <col min="2" max="2" width="26" customWidth="1"/>
    <col min="3" max="3" width="52" customWidth="1"/>
    <col min="4" max="4" width="32" customWidth="1"/>
    <col min="5" max="5" width="58" customWidth="1"/>
    <col min="6" max="6" width="30" customWidth="1"/>
  </cols>
  <sheetData>
    <row r="1" spans="1:6" ht="25.5" customHeight="1">
      <c r="A1" s="1" t="s">
        <v>1526</v>
      </c>
      <c r="B1" s="2"/>
      <c r="C1" s="2"/>
      <c r="D1" s="2"/>
      <c r="E1" s="2"/>
      <c r="F1" s="2"/>
    </row>
    <row r="2" spans="1:6" ht="15.75" customHeight="1">
      <c r="A2" s="3" t="s">
        <v>1527</v>
      </c>
      <c r="B2" s="4"/>
      <c r="C2" s="4"/>
      <c r="D2" s="4"/>
      <c r="E2" s="4"/>
      <c r="F2" s="4"/>
    </row>
    <row r="4" spans="1:6" ht="31.5" customHeight="1">
      <c r="A4" s="8" t="s">
        <v>1528</v>
      </c>
      <c r="B4" s="8" t="s">
        <v>1529</v>
      </c>
      <c r="C4" s="8" t="s">
        <v>1530</v>
      </c>
      <c r="D4" s="8" t="s">
        <v>1531</v>
      </c>
      <c r="E4" s="8" t="s">
        <v>1532</v>
      </c>
      <c r="F4" s="8" t="s">
        <v>1533</v>
      </c>
    </row>
    <row r="5" spans="1:6" ht="36" customHeight="1">
      <c r="A5" s="13" t="s">
        <v>1534</v>
      </c>
      <c r="B5" s="10" t="s">
        <v>1535</v>
      </c>
      <c r="C5" s="15" t="s">
        <v>1536</v>
      </c>
      <c r="D5" s="10" t="s">
        <v>1537</v>
      </c>
      <c r="E5" s="15" t="s">
        <v>1538</v>
      </c>
      <c r="F5" s="15" t="s">
        <v>1539</v>
      </c>
    </row>
    <row r="6" spans="1:6" ht="36" customHeight="1">
      <c r="A6" s="13" t="s">
        <v>1534</v>
      </c>
      <c r="B6" s="10" t="s">
        <v>1540</v>
      </c>
      <c r="C6" s="15" t="s">
        <v>1541</v>
      </c>
      <c r="D6" s="10" t="s">
        <v>1542</v>
      </c>
      <c r="E6" s="15" t="s">
        <v>1543</v>
      </c>
      <c r="F6" s="15" t="s">
        <v>1544</v>
      </c>
    </row>
    <row r="7" spans="1:6" ht="36" customHeight="1">
      <c r="A7" s="13" t="s">
        <v>1534</v>
      </c>
      <c r="B7" s="10" t="s">
        <v>1545</v>
      </c>
      <c r="C7" s="15" t="s">
        <v>1546</v>
      </c>
      <c r="D7" s="10" t="s">
        <v>1547</v>
      </c>
      <c r="E7" s="15" t="s">
        <v>1548</v>
      </c>
      <c r="F7" s="15" t="s">
        <v>1549</v>
      </c>
    </row>
    <row r="8" spans="1:6" ht="36" customHeight="1">
      <c r="A8" s="13" t="s">
        <v>1534</v>
      </c>
      <c r="B8" s="10" t="s">
        <v>1444</v>
      </c>
      <c r="C8" s="15" t="s">
        <v>1550</v>
      </c>
      <c r="D8" s="10" t="s">
        <v>1551</v>
      </c>
      <c r="E8" s="15" t="s">
        <v>1552</v>
      </c>
      <c r="F8" s="15" t="s">
        <v>1553</v>
      </c>
    </row>
    <row r="9" spans="1:6" ht="36" customHeight="1">
      <c r="A9" s="13" t="s">
        <v>1534</v>
      </c>
      <c r="B9" s="10" t="s">
        <v>1554</v>
      </c>
      <c r="C9" s="15" t="s">
        <v>1555</v>
      </c>
      <c r="D9" s="10" t="s">
        <v>1556</v>
      </c>
      <c r="E9" s="15" t="s">
        <v>1557</v>
      </c>
      <c r="F9" s="15" t="s">
        <v>1558</v>
      </c>
    </row>
    <row r="10" spans="1:6" ht="36" customHeight="1">
      <c r="A10" s="13" t="s">
        <v>1534</v>
      </c>
      <c r="B10" s="10" t="s">
        <v>1559</v>
      </c>
      <c r="C10" s="15" t="s">
        <v>1560</v>
      </c>
      <c r="D10" s="10" t="s">
        <v>142</v>
      </c>
      <c r="E10" s="15" t="s">
        <v>1561</v>
      </c>
      <c r="F10" s="15" t="s">
        <v>1562</v>
      </c>
    </row>
    <row r="11" spans="1:6" ht="36" customHeight="1">
      <c r="A11" s="13" t="s">
        <v>1563</v>
      </c>
      <c r="B11" s="10" t="s">
        <v>1564</v>
      </c>
      <c r="C11" s="15" t="s">
        <v>1565</v>
      </c>
      <c r="D11" s="10" t="s">
        <v>1566</v>
      </c>
      <c r="E11" s="15" t="s">
        <v>1567</v>
      </c>
      <c r="F11" s="15" t="s">
        <v>1568</v>
      </c>
    </row>
    <row r="12" spans="1:6" ht="36" customHeight="1">
      <c r="A12" s="13" t="s">
        <v>1569</v>
      </c>
      <c r="B12" s="10" t="s">
        <v>1570</v>
      </c>
      <c r="C12" s="15" t="s">
        <v>1571</v>
      </c>
      <c r="D12" s="10" t="s">
        <v>1572</v>
      </c>
      <c r="E12" s="15" t="s">
        <v>1573</v>
      </c>
      <c r="F12" s="15" t="s">
        <v>1574</v>
      </c>
    </row>
    <row r="13" spans="1:6" ht="36" customHeight="1">
      <c r="A13" s="13" t="s">
        <v>1575</v>
      </c>
      <c r="B13" s="10" t="s">
        <v>1576</v>
      </c>
      <c r="C13" s="15" t="s">
        <v>1577</v>
      </c>
      <c r="D13" s="10" t="s">
        <v>1578</v>
      </c>
      <c r="E13" s="15" t="s">
        <v>1579</v>
      </c>
      <c r="F13" s="15" t="s">
        <v>1580</v>
      </c>
    </row>
    <row r="14" spans="1:6" ht="36" customHeight="1">
      <c r="A14" s="13" t="s">
        <v>1575</v>
      </c>
      <c r="B14" s="10" t="s">
        <v>1581</v>
      </c>
      <c r="C14" s="15" t="s">
        <v>1582</v>
      </c>
      <c r="D14" s="10" t="s">
        <v>1583</v>
      </c>
      <c r="E14" s="15" t="s">
        <v>1584</v>
      </c>
      <c r="F14" s="15" t="s">
        <v>1585</v>
      </c>
    </row>
    <row r="15" spans="1:6" ht="36" customHeight="1">
      <c r="A15" s="13" t="s">
        <v>1586</v>
      </c>
      <c r="B15" s="10" t="s">
        <v>1587</v>
      </c>
      <c r="C15" s="15" t="s">
        <v>1588</v>
      </c>
      <c r="D15" s="10" t="s">
        <v>142</v>
      </c>
      <c r="E15" s="15" t="s">
        <v>1589</v>
      </c>
      <c r="F15" s="15" t="s">
        <v>1590</v>
      </c>
    </row>
    <row r="16" spans="1:6" ht="36" customHeight="1">
      <c r="A16" s="13" t="s">
        <v>1591</v>
      </c>
      <c r="B16" s="10" t="s">
        <v>1592</v>
      </c>
      <c r="C16" s="15" t="s">
        <v>1593</v>
      </c>
      <c r="D16" s="10" t="s">
        <v>142</v>
      </c>
      <c r="E16" s="15" t="s">
        <v>1594</v>
      </c>
      <c r="F16" s="15" t="s">
        <v>1595</v>
      </c>
    </row>
    <row r="17" spans="1:6" ht="36" customHeight="1">
      <c r="A17" s="13" t="s">
        <v>1596</v>
      </c>
      <c r="B17" s="10" t="s">
        <v>1597</v>
      </c>
      <c r="C17" s="15" t="s">
        <v>1598</v>
      </c>
      <c r="D17" s="10" t="s">
        <v>1599</v>
      </c>
      <c r="E17" s="15" t="s">
        <v>1600</v>
      </c>
      <c r="F17" s="15" t="s">
        <v>1601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8"/>
  <sheetViews>
    <sheetView showGridLines="0" zoomScaleNormal="100" workbookViewId="0">
      <pane ySplit="4" topLeftCell="A5" activePane="bottomLeft" state="frozen"/>
      <selection pane="bottomLeft"/>
    </sheetView>
  </sheetViews>
  <sheetFormatPr defaultColWidth="8.7109375" defaultRowHeight="14.45"/>
  <cols>
    <col min="1" max="1" width="5" customWidth="1"/>
    <col min="2" max="2" width="20" customWidth="1"/>
    <col min="3" max="3" width="58" customWidth="1"/>
    <col min="4" max="4" width="26" customWidth="1"/>
    <col min="5" max="5" width="54" customWidth="1"/>
    <col min="6" max="6" width="14" customWidth="1"/>
  </cols>
  <sheetData>
    <row r="1" spans="1:6" ht="25.5" customHeight="1">
      <c r="A1" s="1" t="s">
        <v>1602</v>
      </c>
      <c r="B1" s="2"/>
      <c r="C1" s="2"/>
      <c r="D1" s="2"/>
      <c r="E1" s="2"/>
      <c r="F1" s="2"/>
    </row>
    <row r="2" spans="1:6" ht="15.75" customHeight="1">
      <c r="A2" s="3" t="s">
        <v>1603</v>
      </c>
      <c r="B2" s="4"/>
      <c r="C2" s="4"/>
      <c r="D2" s="4"/>
      <c r="E2" s="4"/>
      <c r="F2" s="4"/>
    </row>
    <row r="4" spans="1:6" ht="31.5" customHeight="1">
      <c r="A4" s="8" t="s">
        <v>1268</v>
      </c>
      <c r="B4" s="8" t="s">
        <v>1604</v>
      </c>
      <c r="C4" s="8" t="s">
        <v>1605</v>
      </c>
      <c r="D4" s="8" t="s">
        <v>1606</v>
      </c>
      <c r="E4" s="8" t="s">
        <v>1607</v>
      </c>
      <c r="F4" s="8" t="s">
        <v>1608</v>
      </c>
    </row>
    <row r="5" spans="1:6" ht="25.5" customHeight="1">
      <c r="A5" s="11">
        <v>1</v>
      </c>
      <c r="B5" s="10" t="s">
        <v>1609</v>
      </c>
      <c r="C5" s="42" t="s">
        <v>1610</v>
      </c>
      <c r="D5" s="11" t="s">
        <v>1611</v>
      </c>
      <c r="E5" s="15" t="s">
        <v>1612</v>
      </c>
      <c r="F5" s="11" t="s">
        <v>1613</v>
      </c>
    </row>
    <row r="6" spans="1:6" ht="25.5" customHeight="1">
      <c r="A6" s="11">
        <v>2</v>
      </c>
      <c r="B6" s="10" t="s">
        <v>1609</v>
      </c>
      <c r="C6" s="42" t="s">
        <v>1614</v>
      </c>
      <c r="D6" s="11" t="s">
        <v>1615</v>
      </c>
      <c r="E6" s="15" t="s">
        <v>1616</v>
      </c>
      <c r="F6" s="11" t="s">
        <v>1617</v>
      </c>
    </row>
    <row r="7" spans="1:6" ht="25.5" customHeight="1">
      <c r="A7" s="11">
        <v>3</v>
      </c>
      <c r="B7" s="10" t="s">
        <v>1609</v>
      </c>
      <c r="C7" s="42" t="s">
        <v>1618</v>
      </c>
      <c r="D7" s="11" t="s">
        <v>1619</v>
      </c>
      <c r="E7" s="15" t="s">
        <v>1620</v>
      </c>
      <c r="F7" s="11" t="s">
        <v>1621</v>
      </c>
    </row>
    <row r="8" spans="1:6" ht="25.5" customHeight="1">
      <c r="A8" s="11">
        <v>4</v>
      </c>
      <c r="B8" s="10" t="s">
        <v>1609</v>
      </c>
      <c r="C8" s="42" t="s">
        <v>1622</v>
      </c>
      <c r="D8" s="11" t="s">
        <v>1623</v>
      </c>
      <c r="E8" s="15" t="s">
        <v>1624</v>
      </c>
      <c r="F8" s="11" t="s">
        <v>1625</v>
      </c>
    </row>
    <row r="9" spans="1:6" ht="25.5" customHeight="1">
      <c r="A9" s="11">
        <v>5</v>
      </c>
      <c r="B9" s="10" t="s">
        <v>1609</v>
      </c>
      <c r="C9" s="42" t="s">
        <v>1626</v>
      </c>
      <c r="D9" s="11" t="s">
        <v>1627</v>
      </c>
      <c r="E9" s="15" t="s">
        <v>1628</v>
      </c>
      <c r="F9" s="11" t="s">
        <v>1629</v>
      </c>
    </row>
    <row r="10" spans="1:6" ht="25.5" customHeight="1">
      <c r="A10" s="11">
        <v>6</v>
      </c>
      <c r="B10" s="10" t="s">
        <v>1609</v>
      </c>
      <c r="C10" s="42" t="s">
        <v>1630</v>
      </c>
      <c r="D10" s="11" t="s">
        <v>1631</v>
      </c>
      <c r="E10" s="15" t="s">
        <v>1632</v>
      </c>
      <c r="F10" s="11" t="s">
        <v>1633</v>
      </c>
    </row>
    <row r="11" spans="1:6" ht="25.5" customHeight="1">
      <c r="A11" s="11">
        <v>7</v>
      </c>
      <c r="B11" s="10" t="s">
        <v>1634</v>
      </c>
      <c r="C11" s="42" t="s">
        <v>1635</v>
      </c>
      <c r="D11" s="11" t="s">
        <v>1636</v>
      </c>
      <c r="E11" s="15" t="s">
        <v>1637</v>
      </c>
      <c r="F11" s="11" t="s">
        <v>1638</v>
      </c>
    </row>
    <row r="12" spans="1:6" ht="25.5" customHeight="1">
      <c r="A12" s="11">
        <v>8</v>
      </c>
      <c r="B12" s="10" t="s">
        <v>1639</v>
      </c>
      <c r="C12" s="42" t="s">
        <v>1640</v>
      </c>
      <c r="D12" s="11" t="s">
        <v>1641</v>
      </c>
      <c r="E12" s="15" t="s">
        <v>1642</v>
      </c>
      <c r="F12" s="11" t="s">
        <v>1643</v>
      </c>
    </row>
    <row r="13" spans="1:6" ht="25.5" customHeight="1">
      <c r="A13" s="11">
        <v>9</v>
      </c>
      <c r="B13" s="10" t="s">
        <v>1639</v>
      </c>
      <c r="C13" s="42" t="s">
        <v>1644</v>
      </c>
      <c r="D13" s="11" t="s">
        <v>1645</v>
      </c>
      <c r="E13" s="15" t="s">
        <v>1646</v>
      </c>
      <c r="F13" s="11" t="s">
        <v>1647</v>
      </c>
    </row>
    <row r="14" spans="1:6" ht="25.5" customHeight="1">
      <c r="A14" s="11">
        <v>10</v>
      </c>
      <c r="B14" s="10" t="s">
        <v>1648</v>
      </c>
      <c r="C14" s="42" t="s">
        <v>1649</v>
      </c>
      <c r="D14" s="11" t="s">
        <v>1650</v>
      </c>
      <c r="E14" s="15" t="s">
        <v>1651</v>
      </c>
      <c r="F14" s="11" t="s">
        <v>1652</v>
      </c>
    </row>
    <row r="15" spans="1:6" ht="25.5" customHeight="1">
      <c r="A15" s="11">
        <v>11</v>
      </c>
      <c r="B15" s="10" t="s">
        <v>1648</v>
      </c>
      <c r="C15" s="42" t="s">
        <v>1653</v>
      </c>
      <c r="D15" s="11" t="s">
        <v>1654</v>
      </c>
      <c r="E15" s="15" t="s">
        <v>1655</v>
      </c>
      <c r="F15" s="11" t="s">
        <v>1652</v>
      </c>
    </row>
    <row r="16" spans="1:6" ht="25.5" customHeight="1">
      <c r="A16" s="11">
        <v>12</v>
      </c>
      <c r="B16" s="10" t="s">
        <v>1648</v>
      </c>
      <c r="C16" s="42" t="s">
        <v>1656</v>
      </c>
      <c r="D16" s="11" t="s">
        <v>1654</v>
      </c>
      <c r="E16" s="15" t="s">
        <v>1657</v>
      </c>
      <c r="F16" s="11" t="s">
        <v>1658</v>
      </c>
    </row>
    <row r="17" spans="1:6" ht="25.5" customHeight="1">
      <c r="A17" s="11">
        <v>13</v>
      </c>
      <c r="B17" s="10" t="s">
        <v>1648</v>
      </c>
      <c r="C17" s="42" t="s">
        <v>1659</v>
      </c>
      <c r="D17" s="11" t="s">
        <v>1654</v>
      </c>
      <c r="E17" s="15" t="s">
        <v>1660</v>
      </c>
      <c r="F17" s="11" t="s">
        <v>1661</v>
      </c>
    </row>
    <row r="18" spans="1:6" ht="25.5" customHeight="1">
      <c r="A18" s="11">
        <v>14</v>
      </c>
      <c r="B18" s="10" t="s">
        <v>1648</v>
      </c>
      <c r="C18" s="42" t="s">
        <v>1662</v>
      </c>
      <c r="D18" s="11" t="s">
        <v>1654</v>
      </c>
      <c r="E18" s="15" t="s">
        <v>1663</v>
      </c>
      <c r="F18" s="11" t="s">
        <v>1664</v>
      </c>
    </row>
    <row r="19" spans="1:6" ht="25.5" customHeight="1">
      <c r="A19" s="11">
        <v>15</v>
      </c>
      <c r="B19" s="10" t="s">
        <v>855</v>
      </c>
      <c r="C19" s="42" t="s">
        <v>1665</v>
      </c>
      <c r="D19" s="11" t="s">
        <v>1666</v>
      </c>
      <c r="E19" s="15" t="s">
        <v>1667</v>
      </c>
      <c r="F19" s="11" t="s">
        <v>1652</v>
      </c>
    </row>
    <row r="20" spans="1:6" ht="25.5" customHeight="1">
      <c r="A20" s="11">
        <v>16</v>
      </c>
      <c r="B20" s="10" t="s">
        <v>855</v>
      </c>
      <c r="C20" s="42" t="s">
        <v>1668</v>
      </c>
      <c r="D20" s="11" t="s">
        <v>1654</v>
      </c>
      <c r="E20" s="15" t="s">
        <v>1669</v>
      </c>
      <c r="F20" s="11" t="s">
        <v>1670</v>
      </c>
    </row>
    <row r="21" spans="1:6" ht="25.5" customHeight="1">
      <c r="A21" s="11">
        <v>17</v>
      </c>
      <c r="B21" s="10" t="s">
        <v>855</v>
      </c>
      <c r="C21" s="42" t="s">
        <v>1671</v>
      </c>
      <c r="D21" s="11" t="s">
        <v>1672</v>
      </c>
      <c r="E21" s="15" t="s">
        <v>1673</v>
      </c>
      <c r="F21" s="11" t="s">
        <v>1674</v>
      </c>
    </row>
    <row r="22" spans="1:6" ht="25.5" customHeight="1">
      <c r="A22" s="11">
        <v>18</v>
      </c>
      <c r="B22" s="10" t="s">
        <v>855</v>
      </c>
      <c r="C22" s="42" t="s">
        <v>1675</v>
      </c>
      <c r="D22" s="11" t="s">
        <v>1666</v>
      </c>
      <c r="E22" s="15" t="s">
        <v>1676</v>
      </c>
      <c r="F22" s="11" t="s">
        <v>1661</v>
      </c>
    </row>
    <row r="23" spans="1:6" ht="25.5" customHeight="1">
      <c r="A23" s="11">
        <v>19</v>
      </c>
      <c r="B23" s="10" t="s">
        <v>184</v>
      </c>
      <c r="C23" s="42" t="s">
        <v>1677</v>
      </c>
      <c r="D23" s="11" t="s">
        <v>1666</v>
      </c>
      <c r="E23" s="15" t="s">
        <v>1678</v>
      </c>
      <c r="F23" s="11" t="s">
        <v>1674</v>
      </c>
    </row>
    <row r="24" spans="1:6" ht="25.5" customHeight="1">
      <c r="A24" s="11">
        <v>20</v>
      </c>
      <c r="B24" s="10" t="s">
        <v>184</v>
      </c>
      <c r="C24" s="42" t="s">
        <v>1679</v>
      </c>
      <c r="D24" s="11" t="s">
        <v>1680</v>
      </c>
      <c r="E24" s="15" t="s">
        <v>1681</v>
      </c>
      <c r="F24" s="11" t="s">
        <v>1643</v>
      </c>
    </row>
    <row r="25" spans="1:6" ht="25.5" customHeight="1">
      <c r="A25" s="11">
        <v>21</v>
      </c>
      <c r="B25" s="10" t="s">
        <v>909</v>
      </c>
      <c r="C25" s="42" t="s">
        <v>1682</v>
      </c>
      <c r="D25" s="11" t="s">
        <v>1683</v>
      </c>
      <c r="E25" s="15" t="s">
        <v>1684</v>
      </c>
      <c r="F25" s="11" t="s">
        <v>1613</v>
      </c>
    </row>
    <row r="26" spans="1:6" ht="25.5" customHeight="1">
      <c r="A26" s="11">
        <v>22</v>
      </c>
      <c r="B26" s="10" t="s">
        <v>909</v>
      </c>
      <c r="C26" s="42" t="s">
        <v>1685</v>
      </c>
      <c r="D26" s="11" t="s">
        <v>1686</v>
      </c>
      <c r="E26" s="15" t="s">
        <v>1687</v>
      </c>
      <c r="F26" s="11" t="s">
        <v>1613</v>
      </c>
    </row>
    <row r="27" spans="1:6" ht="25.5" customHeight="1">
      <c r="A27" s="11">
        <v>23</v>
      </c>
      <c r="B27" s="10" t="s">
        <v>909</v>
      </c>
      <c r="C27" s="42" t="s">
        <v>1688</v>
      </c>
      <c r="D27" s="11" t="s">
        <v>1689</v>
      </c>
      <c r="E27" s="15" t="s">
        <v>1690</v>
      </c>
      <c r="F27" s="11" t="s">
        <v>1613</v>
      </c>
    </row>
    <row r="28" spans="1:6" ht="25.5" customHeight="1">
      <c r="A28" s="11">
        <v>24</v>
      </c>
      <c r="B28" s="10" t="s">
        <v>909</v>
      </c>
      <c r="C28" s="42" t="s">
        <v>1691</v>
      </c>
      <c r="D28" s="11" t="s">
        <v>1692</v>
      </c>
      <c r="E28" s="15" t="s">
        <v>1693</v>
      </c>
      <c r="F28" s="11" t="s">
        <v>1613</v>
      </c>
    </row>
    <row r="29" spans="1:6" ht="25.5" customHeight="1">
      <c r="A29" s="11">
        <v>25</v>
      </c>
      <c r="B29" s="10" t="s">
        <v>909</v>
      </c>
      <c r="C29" s="42" t="s">
        <v>1694</v>
      </c>
      <c r="D29" s="11" t="s">
        <v>1695</v>
      </c>
      <c r="E29" s="15" t="s">
        <v>1696</v>
      </c>
      <c r="F29" s="11" t="s">
        <v>1617</v>
      </c>
    </row>
    <row r="30" spans="1:6" ht="25.5" customHeight="1">
      <c r="A30" s="11">
        <v>26</v>
      </c>
      <c r="B30" s="10" t="s">
        <v>909</v>
      </c>
      <c r="C30" s="42" t="s">
        <v>1697</v>
      </c>
      <c r="D30" s="11" t="s">
        <v>1698</v>
      </c>
      <c r="E30" s="15" t="s">
        <v>1699</v>
      </c>
      <c r="F30" s="11" t="s">
        <v>1617</v>
      </c>
    </row>
    <row r="31" spans="1:6" ht="25.5" customHeight="1">
      <c r="A31" s="11">
        <v>27</v>
      </c>
      <c r="B31" s="10" t="s">
        <v>909</v>
      </c>
      <c r="C31" s="42" t="s">
        <v>1700</v>
      </c>
      <c r="D31" s="11" t="s">
        <v>1701</v>
      </c>
      <c r="E31" s="15" t="s">
        <v>1702</v>
      </c>
      <c r="F31" s="11" t="s">
        <v>1703</v>
      </c>
    </row>
    <row r="32" spans="1:6" ht="25.5" customHeight="1">
      <c r="A32" s="11">
        <v>28</v>
      </c>
      <c r="B32" s="10" t="s">
        <v>909</v>
      </c>
      <c r="C32" s="42" t="s">
        <v>914</v>
      </c>
      <c r="D32" s="11" t="s">
        <v>1704</v>
      </c>
      <c r="E32" s="15" t="s">
        <v>1705</v>
      </c>
      <c r="F32" s="11" t="s">
        <v>1638</v>
      </c>
    </row>
    <row r="33" spans="1:6" ht="25.5" customHeight="1">
      <c r="A33" s="11">
        <v>29</v>
      </c>
      <c r="B33" s="10" t="s">
        <v>1706</v>
      </c>
      <c r="C33" s="42" t="s">
        <v>1707</v>
      </c>
      <c r="D33" s="11" t="s">
        <v>1654</v>
      </c>
      <c r="E33" s="15" t="s">
        <v>1708</v>
      </c>
      <c r="F33" s="11" t="s">
        <v>1633</v>
      </c>
    </row>
    <row r="34" spans="1:6" ht="25.5" customHeight="1">
      <c r="A34" s="11">
        <v>30</v>
      </c>
      <c r="B34" s="10" t="s">
        <v>1706</v>
      </c>
      <c r="C34" s="42" t="s">
        <v>1709</v>
      </c>
      <c r="D34" s="11" t="s">
        <v>1710</v>
      </c>
      <c r="E34" s="15" t="s">
        <v>1711</v>
      </c>
      <c r="F34" s="11" t="s">
        <v>1652</v>
      </c>
    </row>
    <row r="35" spans="1:6" ht="25.5" customHeight="1">
      <c r="A35" s="11">
        <v>31</v>
      </c>
      <c r="B35" s="10" t="s">
        <v>1712</v>
      </c>
      <c r="C35" s="42" t="s">
        <v>1713</v>
      </c>
      <c r="D35" s="11" t="s">
        <v>1666</v>
      </c>
      <c r="E35" s="15" t="s">
        <v>1714</v>
      </c>
      <c r="F35" s="11" t="s">
        <v>1715</v>
      </c>
    </row>
    <row r="36" spans="1:6" ht="25.5" customHeight="1">
      <c r="A36" s="11">
        <v>32</v>
      </c>
      <c r="B36" s="10" t="s">
        <v>1712</v>
      </c>
      <c r="C36" s="42" t="s">
        <v>1716</v>
      </c>
      <c r="D36" s="11" t="s">
        <v>1666</v>
      </c>
      <c r="E36" s="15" t="s">
        <v>1717</v>
      </c>
      <c r="F36" s="11" t="s">
        <v>1718</v>
      </c>
    </row>
    <row r="37" spans="1:6" ht="25.5" customHeight="1">
      <c r="A37" s="11">
        <v>33</v>
      </c>
      <c r="B37" s="10" t="s">
        <v>491</v>
      </c>
      <c r="C37" s="42" t="s">
        <v>1719</v>
      </c>
      <c r="D37" s="11" t="s">
        <v>1720</v>
      </c>
      <c r="E37" s="15" t="s">
        <v>1721</v>
      </c>
      <c r="F37" s="11" t="s">
        <v>1722</v>
      </c>
    </row>
    <row r="38" spans="1:6" ht="25.5" customHeight="1">
      <c r="A38" s="11">
        <v>34</v>
      </c>
      <c r="B38" s="10" t="s">
        <v>1723</v>
      </c>
      <c r="C38" s="42" t="s">
        <v>1724</v>
      </c>
      <c r="D38" s="11" t="s">
        <v>1725</v>
      </c>
      <c r="E38" s="15" t="s">
        <v>1726</v>
      </c>
      <c r="F38" s="11" t="s">
        <v>1727</v>
      </c>
    </row>
    <row r="39" spans="1:6" ht="25.5" customHeight="1">
      <c r="A39" s="11">
        <v>35</v>
      </c>
      <c r="B39" s="10" t="s">
        <v>1728</v>
      </c>
      <c r="C39" s="42" t="s">
        <v>1729</v>
      </c>
      <c r="D39" s="11" t="s">
        <v>1654</v>
      </c>
      <c r="E39" s="15" t="s">
        <v>1730</v>
      </c>
      <c r="F39" s="11" t="s">
        <v>1731</v>
      </c>
    </row>
    <row r="40" spans="1:6" ht="25.5" customHeight="1">
      <c r="A40" s="11">
        <v>36</v>
      </c>
      <c r="B40" s="10" t="s">
        <v>1522</v>
      </c>
      <c r="C40" s="42" t="s">
        <v>1732</v>
      </c>
      <c r="D40" s="11" t="s">
        <v>1458</v>
      </c>
      <c r="E40" s="15" t="s">
        <v>1733</v>
      </c>
      <c r="F40" s="11" t="s">
        <v>1613</v>
      </c>
    </row>
    <row r="41" spans="1:6" ht="25.5" customHeight="1">
      <c r="A41" s="11">
        <v>37</v>
      </c>
      <c r="B41" s="10" t="s">
        <v>1522</v>
      </c>
      <c r="C41" s="42" t="s">
        <v>1734</v>
      </c>
      <c r="D41" s="11" t="s">
        <v>1735</v>
      </c>
      <c r="E41" s="15" t="s">
        <v>1736</v>
      </c>
      <c r="F41" s="11" t="s">
        <v>1670</v>
      </c>
    </row>
    <row r="42" spans="1:6" ht="25.5" customHeight="1">
      <c r="A42" s="11">
        <v>38</v>
      </c>
      <c r="B42" s="10" t="s">
        <v>1522</v>
      </c>
      <c r="C42" s="42" t="s">
        <v>1737</v>
      </c>
      <c r="D42" s="11" t="s">
        <v>1738</v>
      </c>
      <c r="E42" s="15" t="s">
        <v>1739</v>
      </c>
      <c r="F42" s="11" t="s">
        <v>1658</v>
      </c>
    </row>
    <row r="43" spans="1:6" ht="25.5" customHeight="1">
      <c r="A43" s="11">
        <v>39</v>
      </c>
      <c r="B43" s="10" t="s">
        <v>1522</v>
      </c>
      <c r="C43" s="42" t="s">
        <v>1740</v>
      </c>
      <c r="D43" s="11" t="s">
        <v>1654</v>
      </c>
      <c r="E43" s="15" t="s">
        <v>1741</v>
      </c>
      <c r="F43" s="11" t="s">
        <v>1652</v>
      </c>
    </row>
    <row r="44" spans="1:6" ht="25.5" customHeight="1">
      <c r="A44" s="11">
        <v>40</v>
      </c>
      <c r="B44" s="10" t="s">
        <v>1742</v>
      </c>
      <c r="C44" s="42" t="s">
        <v>1743</v>
      </c>
      <c r="D44" s="11" t="s">
        <v>1666</v>
      </c>
      <c r="E44" s="15" t="s">
        <v>1744</v>
      </c>
      <c r="F44" s="11" t="s">
        <v>1638</v>
      </c>
    </row>
    <row r="45" spans="1:6" ht="25.5" customHeight="1">
      <c r="A45" s="11">
        <v>41</v>
      </c>
      <c r="B45" s="10" t="s">
        <v>1742</v>
      </c>
      <c r="C45" s="42" t="s">
        <v>1745</v>
      </c>
      <c r="D45" s="11" t="s">
        <v>1654</v>
      </c>
      <c r="E45" s="15" t="s">
        <v>1746</v>
      </c>
      <c r="F45" s="11" t="s">
        <v>1638</v>
      </c>
    </row>
    <row r="46" spans="1:6" ht="25.5" customHeight="1">
      <c r="A46" s="11">
        <v>42</v>
      </c>
      <c r="B46" s="10" t="s">
        <v>1742</v>
      </c>
      <c r="C46" s="42" t="s">
        <v>1747</v>
      </c>
      <c r="D46" s="11" t="s">
        <v>1666</v>
      </c>
      <c r="E46" s="15" t="s">
        <v>1748</v>
      </c>
      <c r="F46" s="11" t="s">
        <v>1749</v>
      </c>
    </row>
    <row r="47" spans="1:6" ht="25.5" customHeight="1">
      <c r="A47" s="11">
        <v>43</v>
      </c>
      <c r="B47" s="10" t="s">
        <v>855</v>
      </c>
      <c r="C47" s="42" t="s">
        <v>1750</v>
      </c>
      <c r="D47" s="11" t="s">
        <v>1654</v>
      </c>
      <c r="E47" s="15" t="s">
        <v>1751</v>
      </c>
      <c r="F47" s="11" t="s">
        <v>1638</v>
      </c>
    </row>
    <row r="48" spans="1:6" ht="25.5" customHeight="1">
      <c r="A48" s="11">
        <v>44</v>
      </c>
      <c r="B48" s="10" t="s">
        <v>855</v>
      </c>
      <c r="C48" s="42" t="s">
        <v>1752</v>
      </c>
      <c r="D48" s="11" t="s">
        <v>1654</v>
      </c>
      <c r="E48" s="15" t="s">
        <v>1753</v>
      </c>
      <c r="F48" s="11" t="s">
        <v>1754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9"/>
  <sheetViews>
    <sheetView showGridLines="0" zoomScaleNormal="100" workbookViewId="0">
      <pane ySplit="4" topLeftCell="A5" activePane="bottomLeft" state="frozen"/>
      <selection pane="bottomLeft"/>
    </sheetView>
  </sheetViews>
  <sheetFormatPr defaultColWidth="8.7109375" defaultRowHeight="14.45"/>
  <cols>
    <col min="1" max="1" width="36" customWidth="1"/>
    <col min="2" max="2" width="16" customWidth="1"/>
    <col min="3" max="3" width="20" customWidth="1"/>
    <col min="4" max="4" width="60" customWidth="1"/>
    <col min="5" max="5" width="52" customWidth="1"/>
    <col min="6" max="6" width="10" customWidth="1"/>
  </cols>
  <sheetData>
    <row r="1" spans="1:6" ht="25.5" customHeight="1">
      <c r="A1" s="1" t="s">
        <v>1755</v>
      </c>
      <c r="B1" s="2"/>
      <c r="C1" s="2"/>
      <c r="D1" s="2"/>
      <c r="E1" s="2"/>
      <c r="F1" s="2"/>
    </row>
    <row r="2" spans="1:6" ht="15.75" customHeight="1">
      <c r="A2" s="3" t="s">
        <v>1756</v>
      </c>
      <c r="B2" s="4"/>
      <c r="C2" s="4"/>
      <c r="D2" s="4"/>
      <c r="E2" s="4"/>
      <c r="F2" s="4"/>
    </row>
    <row r="4" spans="1:6" ht="31.5" customHeight="1">
      <c r="A4" s="8" t="s">
        <v>1757</v>
      </c>
      <c r="B4" s="8" t="s">
        <v>1604</v>
      </c>
      <c r="C4" s="8" t="s">
        <v>1606</v>
      </c>
      <c r="D4" s="8" t="s">
        <v>1758</v>
      </c>
      <c r="E4" s="8" t="s">
        <v>1759</v>
      </c>
      <c r="F4" s="8" t="s">
        <v>82</v>
      </c>
    </row>
    <row r="5" spans="1:6" ht="30" customHeight="1">
      <c r="A5" s="13" t="s">
        <v>1682</v>
      </c>
      <c r="B5" s="10" t="s">
        <v>1760</v>
      </c>
      <c r="C5" s="11" t="s">
        <v>1683</v>
      </c>
      <c r="D5" s="15" t="s">
        <v>1761</v>
      </c>
      <c r="E5" s="15" t="s">
        <v>1762</v>
      </c>
      <c r="F5" s="11" t="s">
        <v>87</v>
      </c>
    </row>
    <row r="6" spans="1:6" ht="30" customHeight="1">
      <c r="A6" s="13" t="s">
        <v>1685</v>
      </c>
      <c r="B6" s="10" t="s">
        <v>1760</v>
      </c>
      <c r="C6" s="11" t="s">
        <v>1686</v>
      </c>
      <c r="D6" s="15" t="s">
        <v>1763</v>
      </c>
      <c r="E6" s="15" t="s">
        <v>1764</v>
      </c>
      <c r="F6" s="11" t="s">
        <v>92</v>
      </c>
    </row>
    <row r="7" spans="1:6" ht="30" customHeight="1">
      <c r="A7" s="13" t="s">
        <v>1688</v>
      </c>
      <c r="B7" s="10" t="s">
        <v>1760</v>
      </c>
      <c r="C7" s="11" t="s">
        <v>1689</v>
      </c>
      <c r="D7" s="15" t="s">
        <v>1765</v>
      </c>
      <c r="E7" s="15" t="s">
        <v>1690</v>
      </c>
      <c r="F7" s="11" t="s">
        <v>91</v>
      </c>
    </row>
    <row r="8" spans="1:6" ht="30" customHeight="1">
      <c r="A8" s="13" t="s">
        <v>1691</v>
      </c>
      <c r="B8" s="10" t="s">
        <v>1766</v>
      </c>
      <c r="C8" s="11" t="s">
        <v>1692</v>
      </c>
      <c r="D8" s="15" t="s">
        <v>1767</v>
      </c>
      <c r="E8" s="15" t="s">
        <v>1693</v>
      </c>
      <c r="F8" s="11" t="s">
        <v>87</v>
      </c>
    </row>
    <row r="9" spans="1:6" ht="30" customHeight="1">
      <c r="A9" s="13" t="s">
        <v>1768</v>
      </c>
      <c r="B9" s="10" t="s">
        <v>1609</v>
      </c>
      <c r="C9" s="11" t="s">
        <v>1769</v>
      </c>
      <c r="D9" s="15" t="s">
        <v>1770</v>
      </c>
      <c r="E9" s="15" t="s">
        <v>1771</v>
      </c>
      <c r="F9" s="11" t="s">
        <v>90</v>
      </c>
    </row>
    <row r="10" spans="1:6" ht="30" customHeight="1">
      <c r="A10" s="13" t="s">
        <v>1694</v>
      </c>
      <c r="B10" s="10" t="s">
        <v>1772</v>
      </c>
      <c r="C10" s="11" t="s">
        <v>1695</v>
      </c>
      <c r="D10" s="15" t="s">
        <v>1773</v>
      </c>
      <c r="E10" s="15" t="s">
        <v>1774</v>
      </c>
      <c r="F10" s="11" t="s">
        <v>91</v>
      </c>
    </row>
    <row r="11" spans="1:6" ht="30" customHeight="1">
      <c r="A11" s="13" t="s">
        <v>1775</v>
      </c>
      <c r="B11" s="10" t="s">
        <v>1772</v>
      </c>
      <c r="C11" s="11" t="s">
        <v>1776</v>
      </c>
      <c r="D11" s="15" t="s">
        <v>1777</v>
      </c>
      <c r="E11" s="15" t="s">
        <v>1699</v>
      </c>
      <c r="F11" s="11" t="s">
        <v>87</v>
      </c>
    </row>
    <row r="12" spans="1:6" ht="30" customHeight="1">
      <c r="A12" s="13" t="s">
        <v>1700</v>
      </c>
      <c r="B12" s="10" t="s">
        <v>1772</v>
      </c>
      <c r="C12" s="11" t="s">
        <v>1778</v>
      </c>
      <c r="D12" s="15" t="s">
        <v>1779</v>
      </c>
      <c r="E12" s="15" t="s">
        <v>1702</v>
      </c>
      <c r="F12" s="11" t="s">
        <v>87</v>
      </c>
    </row>
    <row r="13" spans="1:6" ht="30" customHeight="1">
      <c r="A13" s="13" t="s">
        <v>1780</v>
      </c>
      <c r="B13" s="10" t="s">
        <v>1772</v>
      </c>
      <c r="C13" s="11" t="s">
        <v>1781</v>
      </c>
      <c r="D13" s="15" t="s">
        <v>1782</v>
      </c>
      <c r="E13" s="15" t="s">
        <v>1783</v>
      </c>
      <c r="F13" s="11" t="s">
        <v>90</v>
      </c>
    </row>
    <row r="14" spans="1:6" ht="30" customHeight="1">
      <c r="A14" s="13" t="s">
        <v>1784</v>
      </c>
      <c r="B14" s="10" t="s">
        <v>1785</v>
      </c>
      <c r="C14" s="11" t="s">
        <v>1786</v>
      </c>
      <c r="D14" s="15" t="s">
        <v>1787</v>
      </c>
      <c r="E14" s="15" t="s">
        <v>1788</v>
      </c>
      <c r="F14" s="11" t="s">
        <v>91</v>
      </c>
    </row>
    <row r="15" spans="1:6" ht="30" customHeight="1">
      <c r="A15" s="13" t="s">
        <v>1789</v>
      </c>
      <c r="B15" s="10" t="s">
        <v>1648</v>
      </c>
      <c r="C15" s="11" t="s">
        <v>1654</v>
      </c>
      <c r="D15" s="15" t="s">
        <v>1790</v>
      </c>
      <c r="E15" s="15" t="s">
        <v>1791</v>
      </c>
      <c r="F15" s="11" t="s">
        <v>91</v>
      </c>
    </row>
    <row r="16" spans="1:6" ht="30" customHeight="1">
      <c r="A16" s="13" t="s">
        <v>1792</v>
      </c>
      <c r="B16" s="10" t="s">
        <v>1648</v>
      </c>
      <c r="C16" s="11" t="s">
        <v>1654</v>
      </c>
      <c r="D16" s="15" t="s">
        <v>1793</v>
      </c>
      <c r="E16" s="15" t="s">
        <v>1655</v>
      </c>
      <c r="F16" s="11" t="s">
        <v>91</v>
      </c>
    </row>
    <row r="17" spans="1:6" ht="30" customHeight="1">
      <c r="A17" s="13" t="s">
        <v>1794</v>
      </c>
      <c r="B17" s="10" t="s">
        <v>855</v>
      </c>
      <c r="C17" s="11" t="s">
        <v>1666</v>
      </c>
      <c r="D17" s="15" t="s">
        <v>1795</v>
      </c>
      <c r="E17" s="15" t="s">
        <v>1796</v>
      </c>
      <c r="F17" s="11" t="s">
        <v>91</v>
      </c>
    </row>
    <row r="18" spans="1:6" ht="30" customHeight="1">
      <c r="A18" s="13" t="s">
        <v>1797</v>
      </c>
      <c r="B18" s="10" t="s">
        <v>1798</v>
      </c>
      <c r="C18" s="11" t="s">
        <v>1704</v>
      </c>
      <c r="D18" s="15" t="s">
        <v>1799</v>
      </c>
      <c r="E18" s="15" t="s">
        <v>1800</v>
      </c>
      <c r="F18" s="11" t="s">
        <v>90</v>
      </c>
    </row>
    <row r="19" spans="1:6" ht="30" customHeight="1">
      <c r="A19" s="13" t="s">
        <v>1801</v>
      </c>
      <c r="B19" s="10" t="s">
        <v>1798</v>
      </c>
      <c r="C19" s="11" t="s">
        <v>1802</v>
      </c>
      <c r="D19" s="15" t="s">
        <v>1803</v>
      </c>
      <c r="E19" s="15" t="s">
        <v>1804</v>
      </c>
      <c r="F19" s="11" t="s">
        <v>90</v>
      </c>
    </row>
    <row r="20" spans="1:6" ht="30" customHeight="1">
      <c r="A20" s="13" t="s">
        <v>1805</v>
      </c>
      <c r="B20" s="10" t="s">
        <v>1760</v>
      </c>
      <c r="C20" s="11" t="s">
        <v>1806</v>
      </c>
      <c r="D20" s="15" t="s">
        <v>1807</v>
      </c>
      <c r="E20" s="15" t="s">
        <v>1808</v>
      </c>
      <c r="F20" s="11" t="s">
        <v>87</v>
      </c>
    </row>
    <row r="21" spans="1:6" ht="30" customHeight="1">
      <c r="A21" s="13" t="s">
        <v>1809</v>
      </c>
      <c r="B21" s="10" t="s">
        <v>1810</v>
      </c>
      <c r="C21" s="11" t="s">
        <v>1811</v>
      </c>
      <c r="D21" s="15" t="s">
        <v>1812</v>
      </c>
      <c r="E21" s="15" t="s">
        <v>1813</v>
      </c>
      <c r="F21" s="11" t="s">
        <v>87</v>
      </c>
    </row>
    <row r="22" spans="1:6" ht="30" customHeight="1">
      <c r="A22" s="13" t="s">
        <v>1814</v>
      </c>
      <c r="B22" s="10" t="s">
        <v>1810</v>
      </c>
      <c r="C22" s="11" t="s">
        <v>1815</v>
      </c>
      <c r="D22" s="15" t="s">
        <v>1816</v>
      </c>
      <c r="E22" s="15" t="s">
        <v>1817</v>
      </c>
      <c r="F22" s="11" t="s">
        <v>88</v>
      </c>
    </row>
    <row r="23" spans="1:6" ht="30" customHeight="1">
      <c r="A23" s="13" t="s">
        <v>1818</v>
      </c>
      <c r="B23" s="10" t="s">
        <v>1819</v>
      </c>
      <c r="C23" s="11" t="s">
        <v>1820</v>
      </c>
      <c r="D23" s="15" t="s">
        <v>1821</v>
      </c>
      <c r="E23" s="15" t="s">
        <v>1822</v>
      </c>
      <c r="F23" s="11" t="s">
        <v>90</v>
      </c>
    </row>
    <row r="24" spans="1:6" ht="30" customHeight="1">
      <c r="A24" s="13" t="s">
        <v>1823</v>
      </c>
      <c r="B24" s="10" t="s">
        <v>1712</v>
      </c>
      <c r="C24" s="11" t="s">
        <v>1666</v>
      </c>
      <c r="D24" s="15" t="s">
        <v>1824</v>
      </c>
      <c r="E24" s="15" t="s">
        <v>1825</v>
      </c>
      <c r="F24" s="11" t="s">
        <v>91</v>
      </c>
    </row>
    <row r="25" spans="1:6" ht="30" customHeight="1">
      <c r="A25" s="13" t="s">
        <v>1826</v>
      </c>
      <c r="B25" s="10" t="s">
        <v>491</v>
      </c>
      <c r="C25" s="11" t="s">
        <v>1720</v>
      </c>
      <c r="D25" s="15" t="s">
        <v>1827</v>
      </c>
      <c r="E25" s="15" t="s">
        <v>1828</v>
      </c>
      <c r="F25" s="11" t="s">
        <v>87</v>
      </c>
    </row>
    <row r="26" spans="1:6" ht="30" customHeight="1">
      <c r="A26" s="13" t="s">
        <v>1829</v>
      </c>
      <c r="B26" s="10" t="s">
        <v>1760</v>
      </c>
      <c r="C26" s="11" t="s">
        <v>1735</v>
      </c>
      <c r="D26" s="15" t="s">
        <v>1830</v>
      </c>
      <c r="E26" s="15" t="s">
        <v>1831</v>
      </c>
      <c r="F26" s="11" t="s">
        <v>90</v>
      </c>
    </row>
    <row r="27" spans="1:6" ht="30" customHeight="1">
      <c r="A27" s="13" t="s">
        <v>1737</v>
      </c>
      <c r="B27" s="10" t="s">
        <v>1522</v>
      </c>
      <c r="C27" s="11" t="s">
        <v>1832</v>
      </c>
      <c r="D27" s="15" t="s">
        <v>1833</v>
      </c>
      <c r="E27" s="15" t="s">
        <v>1834</v>
      </c>
      <c r="F27" s="11" t="s">
        <v>90</v>
      </c>
    </row>
    <row r="28" spans="1:6" ht="30" customHeight="1">
      <c r="A28" s="13" t="s">
        <v>1835</v>
      </c>
      <c r="B28" s="10" t="s">
        <v>1742</v>
      </c>
      <c r="C28" s="11" t="s">
        <v>1666</v>
      </c>
      <c r="D28" s="15" t="s">
        <v>1836</v>
      </c>
      <c r="E28" s="15" t="s">
        <v>1837</v>
      </c>
      <c r="F28" s="11" t="s">
        <v>90</v>
      </c>
    </row>
    <row r="29" spans="1:6" ht="30" customHeight="1">
      <c r="A29" s="13" t="s">
        <v>1838</v>
      </c>
      <c r="B29" s="10" t="s">
        <v>1742</v>
      </c>
      <c r="C29" s="11" t="s">
        <v>1666</v>
      </c>
      <c r="D29" s="15" t="s">
        <v>1839</v>
      </c>
      <c r="E29" s="15" t="s">
        <v>1840</v>
      </c>
      <c r="F29" s="11" t="s">
        <v>92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7"/>
  <sheetViews>
    <sheetView showGridLines="0" zoomScaleNormal="100" workbookViewId="0">
      <pane ySplit="4" topLeftCell="A5" activePane="bottomLeft" state="frozen"/>
      <selection pane="bottomLeft"/>
    </sheetView>
  </sheetViews>
  <sheetFormatPr defaultColWidth="8.7109375" defaultRowHeight="14.45"/>
  <cols>
    <col min="1" max="1" width="46" customWidth="1"/>
    <col min="2" max="2" width="86" customWidth="1"/>
    <col min="3" max="3" width="26" customWidth="1"/>
    <col min="4" max="4" width="20" customWidth="1"/>
  </cols>
  <sheetData>
    <row r="1" spans="1:4" ht="25.5" customHeight="1">
      <c r="A1" s="1" t="s">
        <v>1841</v>
      </c>
      <c r="B1" s="2"/>
      <c r="C1" s="2"/>
      <c r="D1" s="2"/>
    </row>
    <row r="2" spans="1:4" ht="15.75" customHeight="1">
      <c r="A2" s="3" t="s">
        <v>1842</v>
      </c>
      <c r="B2" s="4"/>
      <c r="C2" s="4"/>
      <c r="D2" s="4"/>
    </row>
    <row r="4" spans="1:4" ht="31.5" customHeight="1">
      <c r="A4" s="8" t="s">
        <v>1843</v>
      </c>
      <c r="B4" s="8" t="s">
        <v>1844</v>
      </c>
      <c r="C4" s="8" t="s">
        <v>1845</v>
      </c>
      <c r="D4" s="8" t="s">
        <v>1846</v>
      </c>
    </row>
    <row r="5" spans="1:4" ht="33.75" customHeight="1">
      <c r="A5" s="42" t="s">
        <v>1847</v>
      </c>
      <c r="B5" s="15" t="s">
        <v>1848</v>
      </c>
      <c r="C5" s="10" t="s">
        <v>1849</v>
      </c>
      <c r="D5" s="10" t="s">
        <v>1850</v>
      </c>
    </row>
    <row r="6" spans="1:4" ht="33.75" customHeight="1">
      <c r="A6" s="42" t="s">
        <v>1851</v>
      </c>
      <c r="B6" s="15" t="s">
        <v>1852</v>
      </c>
      <c r="C6" s="10" t="s">
        <v>1853</v>
      </c>
      <c r="D6" s="10" t="s">
        <v>1850</v>
      </c>
    </row>
    <row r="7" spans="1:4" ht="33.75" customHeight="1">
      <c r="A7" s="42" t="s">
        <v>1854</v>
      </c>
      <c r="B7" s="15" t="s">
        <v>1855</v>
      </c>
      <c r="C7" s="10" t="s">
        <v>1856</v>
      </c>
      <c r="D7" s="10" t="s">
        <v>1857</v>
      </c>
    </row>
    <row r="8" spans="1:4" ht="33.75" customHeight="1">
      <c r="A8" s="42" t="s">
        <v>1858</v>
      </c>
      <c r="B8" s="15" t="s">
        <v>1859</v>
      </c>
      <c r="C8" s="10" t="s">
        <v>1860</v>
      </c>
      <c r="D8" s="10" t="s">
        <v>1861</v>
      </c>
    </row>
    <row r="9" spans="1:4" ht="33.75" customHeight="1">
      <c r="A9" s="42" t="s">
        <v>1862</v>
      </c>
      <c r="B9" s="15" t="s">
        <v>1863</v>
      </c>
      <c r="C9" s="10" t="s">
        <v>1856</v>
      </c>
      <c r="D9" s="10" t="s">
        <v>1857</v>
      </c>
    </row>
    <row r="10" spans="1:4" ht="33.75" customHeight="1">
      <c r="A10" s="42" t="s">
        <v>1864</v>
      </c>
      <c r="B10" s="15" t="s">
        <v>1865</v>
      </c>
      <c r="C10" s="10" t="s">
        <v>1853</v>
      </c>
      <c r="D10" s="10" t="s">
        <v>1857</v>
      </c>
    </row>
    <row r="11" spans="1:4" ht="33.75" customHeight="1">
      <c r="A11" s="42" t="s">
        <v>1866</v>
      </c>
      <c r="B11" s="15" t="s">
        <v>1867</v>
      </c>
      <c r="C11" s="10" t="s">
        <v>1868</v>
      </c>
      <c r="D11" s="10" t="s">
        <v>1850</v>
      </c>
    </row>
    <row r="12" spans="1:4" ht="33.75" customHeight="1">
      <c r="A12" s="42" t="s">
        <v>1869</v>
      </c>
      <c r="B12" s="15" t="s">
        <v>1870</v>
      </c>
      <c r="C12" s="10" t="s">
        <v>1853</v>
      </c>
      <c r="D12" s="10" t="s">
        <v>1861</v>
      </c>
    </row>
    <row r="13" spans="1:4" ht="33.75" customHeight="1">
      <c r="A13" s="42" t="s">
        <v>1871</v>
      </c>
      <c r="B13" s="15" t="s">
        <v>1872</v>
      </c>
      <c r="C13" s="10" t="s">
        <v>1856</v>
      </c>
      <c r="D13" s="10" t="s">
        <v>1857</v>
      </c>
    </row>
    <row r="14" spans="1:4" ht="33.75" customHeight="1">
      <c r="A14" s="42" t="s">
        <v>1873</v>
      </c>
      <c r="B14" s="15" t="s">
        <v>1874</v>
      </c>
      <c r="C14" s="10" t="s">
        <v>1856</v>
      </c>
      <c r="D14" s="10" t="s">
        <v>1857</v>
      </c>
    </row>
    <row r="15" spans="1:4" ht="33.75" customHeight="1">
      <c r="A15" s="42" t="s">
        <v>1875</v>
      </c>
      <c r="B15" s="15" t="s">
        <v>1876</v>
      </c>
      <c r="C15" s="10" t="s">
        <v>1877</v>
      </c>
      <c r="D15" s="10" t="s">
        <v>1850</v>
      </c>
    </row>
    <row r="16" spans="1:4" ht="33.75" customHeight="1">
      <c r="A16" s="42" t="s">
        <v>1878</v>
      </c>
      <c r="B16" s="15" t="s">
        <v>1879</v>
      </c>
      <c r="C16" s="10" t="s">
        <v>1856</v>
      </c>
      <c r="D16" s="10" t="s">
        <v>1850</v>
      </c>
    </row>
    <row r="17" spans="1:4" ht="33.75" customHeight="1">
      <c r="A17" s="42" t="s">
        <v>1880</v>
      </c>
      <c r="B17" s="15" t="s">
        <v>1881</v>
      </c>
      <c r="C17" s="10" t="s">
        <v>1882</v>
      </c>
      <c r="D17" s="10" t="s">
        <v>1850</v>
      </c>
    </row>
    <row r="18" spans="1:4" ht="33.75" customHeight="1">
      <c r="A18" s="42" t="s">
        <v>1883</v>
      </c>
      <c r="B18" s="15" t="s">
        <v>1884</v>
      </c>
      <c r="C18" s="10" t="s">
        <v>1885</v>
      </c>
      <c r="D18" s="10" t="s">
        <v>1850</v>
      </c>
    </row>
    <row r="19" spans="1:4" ht="33.75" customHeight="1">
      <c r="A19" s="42" t="s">
        <v>1886</v>
      </c>
      <c r="B19" s="15" t="s">
        <v>1887</v>
      </c>
      <c r="C19" s="10" t="s">
        <v>1885</v>
      </c>
      <c r="D19" s="10" t="s">
        <v>1857</v>
      </c>
    </row>
    <row r="20" spans="1:4" ht="33.75" customHeight="1">
      <c r="A20" s="42" t="s">
        <v>1888</v>
      </c>
      <c r="B20" s="15" t="s">
        <v>1889</v>
      </c>
      <c r="C20" s="10" t="s">
        <v>1849</v>
      </c>
      <c r="D20" s="10" t="s">
        <v>1890</v>
      </c>
    </row>
    <row r="21" spans="1:4" ht="33.75" customHeight="1">
      <c r="A21" s="42" t="s">
        <v>1891</v>
      </c>
      <c r="B21" s="15" t="s">
        <v>1892</v>
      </c>
      <c r="C21" s="10" t="s">
        <v>1882</v>
      </c>
      <c r="D21" s="10" t="s">
        <v>1861</v>
      </c>
    </row>
    <row r="22" spans="1:4" ht="33.75" customHeight="1">
      <c r="A22" s="42" t="s">
        <v>1893</v>
      </c>
      <c r="B22" s="15" t="s">
        <v>1894</v>
      </c>
      <c r="C22" s="10" t="s">
        <v>1882</v>
      </c>
      <c r="D22" s="10" t="s">
        <v>1857</v>
      </c>
    </row>
    <row r="23" spans="1:4" ht="33.75" customHeight="1">
      <c r="A23" s="42" t="s">
        <v>1895</v>
      </c>
      <c r="B23" s="15" t="s">
        <v>1896</v>
      </c>
      <c r="C23" s="10" t="s">
        <v>1897</v>
      </c>
      <c r="D23" s="10" t="s">
        <v>1850</v>
      </c>
    </row>
    <row r="24" spans="1:4" ht="33.75" customHeight="1">
      <c r="A24" s="42" t="s">
        <v>1898</v>
      </c>
      <c r="B24" s="15" t="s">
        <v>1899</v>
      </c>
      <c r="C24" s="10" t="s">
        <v>1897</v>
      </c>
      <c r="D24" s="10" t="s">
        <v>1850</v>
      </c>
    </row>
    <row r="25" spans="1:4" ht="33.75" customHeight="1">
      <c r="A25" s="42" t="s">
        <v>1900</v>
      </c>
      <c r="B25" s="15" t="s">
        <v>1901</v>
      </c>
      <c r="C25" s="10" t="s">
        <v>1897</v>
      </c>
      <c r="D25" s="10" t="s">
        <v>1857</v>
      </c>
    </row>
    <row r="26" spans="1:4" ht="33.75" customHeight="1">
      <c r="A26" s="42" t="s">
        <v>1902</v>
      </c>
      <c r="B26" s="15" t="s">
        <v>1903</v>
      </c>
      <c r="C26" s="10" t="s">
        <v>1904</v>
      </c>
      <c r="D26" s="10" t="s">
        <v>1861</v>
      </c>
    </row>
    <row r="27" spans="1:4" ht="33.75" customHeight="1">
      <c r="A27" s="42" t="s">
        <v>1905</v>
      </c>
      <c r="B27" s="15" t="s">
        <v>1906</v>
      </c>
      <c r="C27" s="10" t="s">
        <v>1897</v>
      </c>
      <c r="D27" s="10" t="s">
        <v>1861</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
  <sheetViews>
    <sheetView showGridLines="0" zoomScaleNormal="100" workbookViewId="0">
      <pane ySplit="4" topLeftCell="A5" activePane="bottomLeft" state="frozen"/>
      <selection pane="bottomLeft"/>
    </sheetView>
  </sheetViews>
  <sheetFormatPr defaultColWidth="8.7109375" defaultRowHeight="14.45"/>
  <cols>
    <col min="1" max="1" width="16" customWidth="1"/>
    <col min="2" max="2" width="34" customWidth="1"/>
    <col min="3" max="3" width="58" customWidth="1"/>
    <col min="4" max="4" width="50" customWidth="1"/>
    <col min="5" max="5" width="26" customWidth="1"/>
    <col min="6" max="6" width="14" customWidth="1"/>
    <col min="7" max="7" width="50" customWidth="1"/>
  </cols>
  <sheetData>
    <row r="1" spans="1:7" ht="25.5" customHeight="1">
      <c r="A1" s="1" t="s">
        <v>1907</v>
      </c>
      <c r="B1" s="2"/>
      <c r="C1" s="2"/>
      <c r="D1" s="2"/>
      <c r="E1" s="2"/>
      <c r="F1" s="2"/>
      <c r="G1" s="2"/>
    </row>
    <row r="2" spans="1:7" ht="15.75" customHeight="1">
      <c r="A2" s="3" t="s">
        <v>1908</v>
      </c>
      <c r="B2" s="4"/>
      <c r="C2" s="4"/>
      <c r="D2" s="4"/>
      <c r="E2" s="4"/>
      <c r="F2" s="4"/>
      <c r="G2" s="4"/>
    </row>
    <row r="4" spans="1:7" ht="31.5" customHeight="1">
      <c r="A4" s="8" t="s">
        <v>1528</v>
      </c>
      <c r="B4" s="8" t="s">
        <v>1909</v>
      </c>
      <c r="C4" s="8" t="s">
        <v>1910</v>
      </c>
      <c r="D4" s="8" t="s">
        <v>1911</v>
      </c>
      <c r="E4" s="8" t="s">
        <v>1912</v>
      </c>
      <c r="F4" s="8" t="s">
        <v>1554</v>
      </c>
      <c r="G4" s="8" t="s">
        <v>1913</v>
      </c>
    </row>
    <row r="5" spans="1:7" ht="57.75" customHeight="1">
      <c r="A5" s="13" t="s">
        <v>1534</v>
      </c>
      <c r="B5" s="15" t="s">
        <v>1914</v>
      </c>
      <c r="C5" s="15" t="s">
        <v>1915</v>
      </c>
      <c r="D5" s="15" t="s">
        <v>1916</v>
      </c>
      <c r="E5" s="10" t="s">
        <v>1917</v>
      </c>
      <c r="F5" s="11" t="s">
        <v>1918</v>
      </c>
      <c r="G5" s="15" t="s">
        <v>1919</v>
      </c>
    </row>
    <row r="6" spans="1:7" ht="57.75" customHeight="1">
      <c r="A6" s="13" t="s">
        <v>1920</v>
      </c>
      <c r="B6" s="15" t="s">
        <v>1921</v>
      </c>
      <c r="C6" s="15" t="s">
        <v>1922</v>
      </c>
      <c r="D6" s="15" t="s">
        <v>1923</v>
      </c>
      <c r="E6" s="10" t="s">
        <v>1924</v>
      </c>
      <c r="F6" s="11" t="s">
        <v>1925</v>
      </c>
      <c r="G6" s="15" t="s">
        <v>1926</v>
      </c>
    </row>
    <row r="7" spans="1:7" ht="57.75" customHeight="1">
      <c r="A7" s="13" t="s">
        <v>1569</v>
      </c>
      <c r="B7" s="15" t="s">
        <v>1927</v>
      </c>
      <c r="C7" s="15" t="s">
        <v>1928</v>
      </c>
      <c r="D7" s="15" t="s">
        <v>1929</v>
      </c>
      <c r="E7" s="10" t="s">
        <v>1924</v>
      </c>
      <c r="F7" s="11" t="s">
        <v>1925</v>
      </c>
      <c r="G7" s="15" t="s">
        <v>1930</v>
      </c>
    </row>
    <row r="8" spans="1:7" ht="57.75" customHeight="1">
      <c r="A8" s="13" t="s">
        <v>1931</v>
      </c>
      <c r="B8" s="15" t="s">
        <v>1932</v>
      </c>
      <c r="C8" s="15" t="s">
        <v>1933</v>
      </c>
      <c r="D8" s="15" t="s">
        <v>1934</v>
      </c>
      <c r="E8" s="10" t="s">
        <v>1924</v>
      </c>
      <c r="F8" s="11" t="s">
        <v>1925</v>
      </c>
      <c r="G8" s="15" t="s">
        <v>1935</v>
      </c>
    </row>
    <row r="9" spans="1:7" ht="57.75" customHeight="1">
      <c r="A9" s="13" t="s">
        <v>1936</v>
      </c>
      <c r="B9" s="15" t="s">
        <v>1937</v>
      </c>
      <c r="C9" s="15" t="s">
        <v>1938</v>
      </c>
      <c r="D9" s="15" t="s">
        <v>1939</v>
      </c>
      <c r="E9" s="10" t="s">
        <v>1924</v>
      </c>
      <c r="F9" s="11" t="s">
        <v>1925</v>
      </c>
      <c r="G9" s="15" t="s">
        <v>1940</v>
      </c>
    </row>
    <row r="10" spans="1:7" ht="57.75" customHeight="1">
      <c r="A10" s="13" t="s">
        <v>1941</v>
      </c>
      <c r="B10" s="15" t="s">
        <v>1942</v>
      </c>
      <c r="C10" s="15" t="s">
        <v>1943</v>
      </c>
      <c r="D10" s="15" t="s">
        <v>1944</v>
      </c>
      <c r="E10" s="10" t="s">
        <v>1924</v>
      </c>
      <c r="F10" s="11" t="s">
        <v>1925</v>
      </c>
      <c r="G10" s="15" t="s">
        <v>1945</v>
      </c>
    </row>
    <row r="12" spans="1:7" ht="45.75" customHeight="1">
      <c r="A12" s="44" t="s">
        <v>1946</v>
      </c>
      <c r="B12" s="44"/>
      <c r="C12" s="44"/>
      <c r="D12" s="44"/>
      <c r="E12" s="44"/>
      <c r="F12" s="44"/>
      <c r="G12" s="44"/>
    </row>
    <row r="14" spans="1:7" ht="45.75" customHeight="1">
      <c r="A14" s="44" t="s">
        <v>1947</v>
      </c>
      <c r="B14" s="44"/>
      <c r="C14" s="44"/>
      <c r="D14" s="44"/>
      <c r="E14" s="44"/>
      <c r="F14" s="44"/>
      <c r="G14" s="44"/>
    </row>
    <row r="16" spans="1:7" ht="45.75" customHeight="1">
      <c r="A16" s="44" t="s">
        <v>1948</v>
      </c>
      <c r="B16" s="44"/>
      <c r="C16" s="44"/>
      <c r="D16" s="44"/>
      <c r="E16" s="44"/>
      <c r="F16" s="44"/>
      <c r="G16" s="44"/>
    </row>
    <row r="18" spans="1:7" ht="45.75" customHeight="1">
      <c r="A18" s="44" t="s">
        <v>1949</v>
      </c>
      <c r="B18" s="44"/>
      <c r="C18" s="44"/>
      <c r="D18" s="44"/>
      <c r="E18" s="44"/>
      <c r="F18" s="44"/>
      <c r="G18" s="44"/>
    </row>
  </sheetData>
  <mergeCells count="4">
    <mergeCell ref="A12:G12"/>
    <mergeCell ref="A14:G14"/>
    <mergeCell ref="A16:G16"/>
    <mergeCell ref="A18:G18"/>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7445A44E9CC3348A6F51AEB13DBBA8A" ma:contentTypeVersion="3" ma:contentTypeDescription="Create a new document." ma:contentTypeScope="" ma:versionID="a58a35a8edf6a398dd0e46121fcfdb5b">
  <xsd:schema xmlns:xsd="http://www.w3.org/2001/XMLSchema" xmlns:xs="http://www.w3.org/2001/XMLSchema" xmlns:p="http://schemas.microsoft.com/office/2006/metadata/properties" xmlns:ns2="234d14f4-2c43-4580-b7df-b3f57b6a9ad6" targetNamespace="http://schemas.microsoft.com/office/2006/metadata/properties" ma:root="true" ma:fieldsID="b44ca6c3c81d702731a274aad81c6868" ns2:_="">
    <xsd:import namespace="234d14f4-2c43-4580-b7df-b3f57b6a9ad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4d14f4-2c43-4580-b7df-b3f57b6a9a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25565F-FA2C-457F-8851-BC3FE65B04E3}"/>
</file>

<file path=customXml/itemProps2.xml><?xml version="1.0" encoding="utf-8"?>
<ds:datastoreItem xmlns:ds="http://schemas.openxmlformats.org/officeDocument/2006/customXml" ds:itemID="{B39538D4-FF48-42F3-9AF9-74A816C75025}"/>
</file>

<file path=customXml/itemProps3.xml><?xml version="1.0" encoding="utf-8"?>
<ds:datastoreItem xmlns:ds="http://schemas.openxmlformats.org/officeDocument/2006/customXml" ds:itemID="{FF647782-05C1-412C-8D70-1C94242DBA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2026-08-03T11:41:41Z</dcterms:created>
  <dcterms:modified xsi:type="dcterms:W3CDTF">2026-08-10T07:09:27Z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0x01010047445A44E9CC3348A6F51AEB13DBBA8A</vt:lpwstr>
  </property>
</Properties>
</file>